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61c68c25d4f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155aa1b7ed74993"/>
    <x:sheet xmlns:r="http://schemas.openxmlformats.org/officeDocument/2006/relationships" name="Monthly Data" sheetId="2" r:id="R7a5cfe3557304072"/>
    <x:sheet xmlns:r="http://schemas.openxmlformats.org/officeDocument/2006/relationships" name="Model Results" sheetId="3" r:id="Rd74bf0cea4d141ca"/>
    <x:sheet xmlns:r="http://schemas.openxmlformats.org/officeDocument/2006/relationships" name="Assumptions" sheetId="4" r:id="Ra145b73708cb4b16"/>
    <x:sheet xmlns:r="http://schemas.openxmlformats.org/officeDocument/2006/relationships" name="Data Dictionary" sheetId="5" r:id="R4c427722675c4b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₹#,##0"/>
    <x:numFmt numFmtId="202" formatCode="mmm yyyy"/>
    <x:numFmt numFmtId="203" formatCode="0.0"/>
    <x:numFmt numFmtId="204" formatCode="0%"/>
  </x:numFmts>
  <x:fonts count="1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102A56"/>
      <x:name val="Carlito"/>
    </x:font>
    <x:font>
      <x:b/>
      <x:sz val="11"/>
      <x:color rgb="FF667085"/>
      <x:name val="Carlito"/>
    </x:font>
    <x:font>
      <x:b/>
      <x:sz val="16"/>
      <x:color rgb="FF172033"/>
      <x:name val="Carlito"/>
    </x:font>
    <x:font>
      <x:sz val="11"/>
      <x:color rgb="FF172033"/>
      <x:name val="Carlito"/>
    </x:font>
    <x:font>
      <x:b/>
      <x:sz val="20"/>
      <x:color rgb="FFFFFFFF"/>
      <x:name val="Aptos"/>
    </x:font>
    <x:font>
      <x:i/>
      <x:sz val="11"/>
      <x:color rgb="FF102A56"/>
      <x:name val="Aptos"/>
    </x:font>
    <x:font>
      <x:sz val="11"/>
      <x:name val="Aptos"/>
    </x:font>
    <x:font>
      <x:b/>
      <x:sz val="11"/>
      <x:color rgb="FF667085"/>
      <x:name val="Aptos"/>
    </x:font>
    <x:font>
      <x:b/>
      <x:sz val="16"/>
      <x:color rgb="FF172033"/>
      <x:name val="Aptos"/>
    </x:font>
    <x:font>
      <x:b/>
      <x:sz val="11"/>
      <x:color rgb="FFFFFFFF"/>
      <x:name val="Aptos"/>
    </x:font>
    <x:font>
      <x:sz val="11"/>
      <x:color rgb="FF172033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02A56"/>
      </x:patternFill>
    </x:fill>
    <x:fill>
      <x:patternFill patternType="solid">
        <x:fgColor rgb="FF2563EB"/>
      </x:patternFill>
    </x:fill>
    <x:fill>
      <x:patternFill patternType="solid">
        <x:fgColor rgb="FFEAF2FF"/>
      </x:patternFill>
    </x:fill>
    <x:fill>
      <x:patternFill patternType="solid">
        <x:fgColor rgb="FFDCE9FF"/>
      </x:patternFill>
    </x:fill>
    <x:fill>
      <x:patternFill patternType="solid">
        <x:fgColor rgb="FFFCE7F3"/>
      </x:patternFill>
    </x:fill>
    <x:fill>
      <x:patternFill patternType="solid">
        <x:fgColor rgb="FFE7F8F0"/>
      </x:patternFill>
    </x:fill>
    <x:fill>
      <x:patternFill patternType="solid">
        <x:fgColor rgb="FFF0EDFF"/>
      </x:patternFill>
    </x:fill>
    <x:fill>
      <x:patternFill patternType="solid">
        <x:fgColor rgb="FFFFF3E6"/>
      </x:patternFill>
    </x:fill>
    <x:fill>
      <x:patternFill patternType="solid">
        <x:fgColor rgb="FFF6F8FC"/>
      </x:patternFill>
    </x:fill>
  </x:fills>
  <x:borders count="14">
    <x:border/>
    <x:border>
      <x:right style="thin">
        <x:color rgb="FFD9E2F0"/>
      </x:right>
      <x:bottom style="thin">
        <x:color rgb="FFD9E2F0"/>
      </x:bottom>
    </x:border>
    <x:border>
      <x:left style="thin">
        <x:color rgb="FFD9E2F0"/>
      </x:left>
      <x:right style="thin">
        <x:color rgb="FFD9E2F0"/>
      </x:right>
      <x:bottom style="thin">
        <x:color rgb="FFD9E2F0"/>
      </x:bottom>
    </x:border>
    <x:border>
      <x:left style="thin">
        <x:color rgb="FFD9E2F0"/>
      </x:left>
      <x:bottom style="thin">
        <x:color rgb="FFD9E2F0"/>
      </x:bottom>
    </x:border>
    <x:border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D9E2F0"/>
      </x:left>
      <x:top style="thin">
        <x:color rgb="FFD9E2F0"/>
      </x:top>
      <x:bottom style="thin">
        <x:color rgb="FFD9E2F0"/>
      </x:bottom>
    </x:border>
    <x:border>
      <x:right style="thin">
        <x:color rgb="FFD9E2F0"/>
      </x:right>
      <x:top style="thin">
        <x:color rgb="FFD9E2F0"/>
      </x:top>
    </x:border>
    <x:border>
      <x:left style="thin">
        <x:color rgb="FFD9E2F0"/>
      </x:left>
      <x:right style="thin">
        <x:color rgb="FFD9E2F0"/>
      </x:right>
      <x:top style="thin">
        <x:color rgb="FFD9E2F0"/>
      </x:top>
    </x:border>
    <x:border>
      <x:left style="thin">
        <x:color rgb="FFD9E2F0"/>
      </x:left>
      <x:top style="thin">
        <x:color rgb="FFD9E2F0"/>
      </x:top>
    </x:border>
    <x:border>
      <x:top style="thin">
        <x:color rgb="FFD9E2F0"/>
      </x:top>
    </x:border>
    <x:border>
      <x:left style="thin">
        <x:color rgb="FFD9E2F0"/>
      </x:left>
    </x:border>
    <x:border>
      <x:right style="thin">
        <x:color rgb="FFD9E2F0"/>
      </x:right>
    </x:border>
    <x:border>
      <x:bottom style="thin">
        <x:color rgb="FFD9E2F0"/>
      </x:bottom>
    </x:border>
  </x:borders>
  <x:cellStyleXfs count="1">
    <x:xf numFmtId="0" fontId="0" fillId="0" borderId="0"/>
  </x:cellStyleXfs>
  <x:cellXfs count="2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2" fontId="0" fillId="4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203" fontId="0" fillId="4" borderId="0" xfId="0" applyNumberFormat="1" applyFont="1" applyFill="1" applyBorder="1"/>
    <x:xf numFmtId="204" fontId="0" fillId="4" borderId="0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202" fontId="0" fillId="0" borderId="4" xfId="0" applyNumberFormat="1" applyFont="1" applyFill="1" applyBorder="1"/>
    <x:xf numFmtId="203" fontId="0" fillId="0" borderId="5" xfId="0" applyNumberFormat="1" applyFont="1" applyFill="1" applyBorder="1"/>
    <x:xf numFmtId="204" fontId="0" fillId="0" borderId="5" xfId="0" applyNumberFormat="1" applyFont="1" applyFill="1" applyBorder="1"/>
    <x:xf numFmtId="204" fontId="0" fillId="0" borderId="6" xfId="0" applyNumberFormat="1" applyFont="1" applyFill="1" applyBorder="1"/>
    <x:xf numFmtId="202" fontId="0" fillId="4" borderId="4" xfId="0" applyNumberFormat="1" applyFont="1" applyFill="1" applyBorder="1"/>
    <x:xf numFmtId="0" fontId="0" fillId="4" borderId="5" xfId="0" applyNumberFormat="1" applyFont="1" applyFill="1" applyBorder="1"/>
    <x:xf numFmtId="201" fontId="0" fillId="4" borderId="5" xfId="0" applyNumberFormat="1" applyFont="1" applyFill="1" applyBorder="1"/>
    <x:xf numFmtId="203" fontId="0" fillId="4" borderId="5" xfId="0" applyNumberFormat="1" applyFont="1" applyFill="1" applyBorder="1"/>
    <x:xf numFmtId="204" fontId="0" fillId="4" borderId="5" xfId="0" applyNumberFormat="1" applyFont="1" applyFill="1" applyBorder="1"/>
    <x:xf numFmtId="204" fontId="0" fillId="4" borderId="6" xfId="0" applyNumberFormat="1" applyFont="1" applyFill="1" applyBorder="1"/>
    <x:xf numFmtId="202" fontId="0" fillId="4" borderId="7" xfId="0" applyNumberFormat="1" applyFont="1" applyFill="1" applyBorder="1"/>
    <x:xf numFmtId="0" fontId="0" fillId="4" borderId="8" xfId="0" applyNumberFormat="1" applyFont="1" applyFill="1" applyBorder="1"/>
    <x:xf numFmtId="201" fontId="0" fillId="4" borderId="8" xfId="0" applyNumberFormat="1" applyFont="1" applyFill="1" applyBorder="1"/>
    <x:xf numFmtId="203" fontId="0" fillId="4" borderId="8" xfId="0" applyNumberFormat="1" applyFont="1" applyFill="1" applyBorder="1"/>
    <x:xf numFmtId="204" fontId="0" fillId="4" borderId="8" xfId="0" applyNumberFormat="1" applyFont="1" applyFill="1" applyBorder="1"/>
    <x:xf numFmtId="204" fontId="0" fillId="4" borderId="9" xfId="0" applyNumberFormat="1" applyFont="1" applyFill="1" applyBorder="1"/>
    <x:xf numFmtId="202" fontId="0" fillId="0" borderId="7" xfId="0" applyNumberFormat="1" applyFont="1" applyFill="1" applyBorder="1"/>
    <x:xf numFmtId="201" fontId="0" fillId="0" borderId="8" xfId="0" applyNumberFormat="1" applyFont="1" applyFill="1" applyBorder="1"/>
    <x:xf numFmtId="203" fontId="0" fillId="0" borderId="8" xfId="0" applyNumberFormat="1" applyFont="1" applyFill="1" applyBorder="1"/>
    <x:xf numFmtId="204" fontId="0" fillId="0" borderId="8" xfId="0" applyNumberFormat="1" applyFont="1" applyFill="1" applyBorder="1"/>
    <x:xf numFmtId="204" fontId="0" fillId="0" borderId="9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200" fontId="0" fillId="0" borderId="8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7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3" xfId="0" applyNumberFormat="1" applyFont="1" applyFill="1" applyBorder="1"/>
    <x:xf numFmtId="0" fontId="0" fillId="4" borderId="13" xfId="0" applyNumberFormat="1" applyFont="1" applyFill="1" applyBorder="1"/>
    <x:xf numFmtId="0" fontId="0" fillId="4" borderId="1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7" xfId="0" applyNumberFormat="1" applyFont="1" applyFill="1" applyBorder="1"/>
    <x:xf numFmtId="0" fontId="5" fillId="4" borderId="9" xfId="0" applyNumberFormat="1" applyFont="1" applyFill="1" applyBorder="1" applyAlignment="1">
      <x:alignment horizontal="center"/>
    </x:xf>
    <x:xf numFmtId="0" fontId="5" fillId="4" borderId="10" xfId="0" applyNumberFormat="1" applyFont="1" applyFill="1" applyBorder="1" applyAlignment="1">
      <x:alignment horizontal="center"/>
    </x:xf>
    <x:xf numFmtId="0" fontId="5" fillId="4" borderId="7" xfId="0" applyNumberFormat="1" applyFont="1" applyFill="1" applyBorder="1" applyAlignment="1">
      <x:alignment horizontal="center"/>
    </x:xf>
    <x:xf numFmtId="0" fontId="6" fillId="4" borderId="11" xfId="0" applyNumberFormat="1" applyFont="1" applyFill="1" applyBorder="1"/>
    <x:xf numFmtId="0" fontId="6" fillId="4" borderId="0" xfId="0" applyNumberFormat="1" applyFont="1" applyFill="1" applyBorder="1"/>
    <x:xf numFmtId="0" fontId="6" fillId="4" borderId="12" xfId="0" applyNumberFormat="1" applyFont="1" applyFill="1" applyBorder="1"/>
    <x:xf numFmtId="0" fontId="6" fillId="4" borderId="1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/>
    </x:xf>
    <x:xf numFmtId="0" fontId="6" fillId="4" borderId="12" xfId="0" applyNumberFormat="1" applyFont="1" applyFill="1" applyBorder="1" applyAlignment="1">
      <x:alignment horizontal="center"/>
    </x:xf>
    <x:xf numFmtId="201" fontId="6" fillId="4" borderId="1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7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3" xfId="0" applyNumberFormat="1" applyFont="1" applyFill="1" applyBorder="1"/>
    <x:xf numFmtId="0" fontId="0" fillId="6" borderId="13" xfId="0" applyNumberFormat="1" applyFont="1" applyFill="1" applyBorder="1"/>
    <x:xf numFmtId="0" fontId="0" fillId="6" borderId="1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7" xfId="0" applyNumberFormat="1" applyFont="1" applyFill="1" applyBorder="1"/>
    <x:xf numFmtId="0" fontId="5" fillId="6" borderId="9" xfId="0" applyNumberFormat="1" applyFont="1" applyFill="1" applyBorder="1" applyAlignment="1">
      <x:alignment horizontal="center"/>
    </x:xf>
    <x:xf numFmtId="0" fontId="5" fillId="6" borderId="10" xfId="0" applyNumberFormat="1" applyFont="1" applyFill="1" applyBorder="1" applyAlignment="1">
      <x:alignment horizontal="center"/>
    </x:xf>
    <x:xf numFmtId="0" fontId="5" fillId="6" borderId="7" xfId="0" applyNumberFormat="1" applyFont="1" applyFill="1" applyBorder="1" applyAlignment="1">
      <x:alignment horizontal="center"/>
    </x:xf>
    <x:xf numFmtId="0" fontId="6" fillId="6" borderId="11" xfId="0" applyNumberFormat="1" applyFont="1" applyFill="1" applyBorder="1"/>
    <x:xf numFmtId="0" fontId="6" fillId="6" borderId="0" xfId="0" applyNumberFormat="1" applyFont="1" applyFill="1" applyBorder="1"/>
    <x:xf numFmtId="0" fontId="6" fillId="6" borderId="12" xfId="0" applyNumberFormat="1" applyFont="1" applyFill="1" applyBorder="1"/>
    <x:xf numFmtId="0" fontId="6" fillId="6" borderId="11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/>
    </x:xf>
    <x:xf numFmtId="0" fontId="6" fillId="6" borderId="12" xfId="0" applyNumberFormat="1" applyFont="1" applyFill="1" applyBorder="1" applyAlignment="1">
      <x:alignment horizontal="center"/>
    </x:xf>
    <x:xf numFmtId="201" fontId="6" fillId="6" borderId="1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7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3" xfId="0" applyNumberFormat="1" applyFont="1" applyFill="1" applyBorder="1"/>
    <x:xf numFmtId="0" fontId="0" fillId="7" borderId="13" xfId="0" applyNumberFormat="1" applyFont="1" applyFill="1" applyBorder="1"/>
    <x:xf numFmtId="0" fontId="0" fillId="7" borderId="1" xfId="0" applyNumberFormat="1" applyFont="1" applyFill="1" applyBorder="1"/>
    <x:xf numFmtId="0" fontId="5" fillId="7" borderId="9" xfId="0" applyNumberFormat="1" applyFont="1" applyFill="1" applyBorder="1"/>
    <x:xf numFmtId="0" fontId="5" fillId="7" borderId="10" xfId="0" applyNumberFormat="1" applyFont="1" applyFill="1" applyBorder="1"/>
    <x:xf numFmtId="0" fontId="5" fillId="7" borderId="7" xfId="0" applyNumberFormat="1" applyFont="1" applyFill="1" applyBorder="1"/>
    <x:xf numFmtId="0" fontId="5" fillId="7" borderId="9" xfId="0" applyNumberFormat="1" applyFont="1" applyFill="1" applyBorder="1" applyAlignment="1">
      <x:alignment horizontal="center"/>
    </x:xf>
    <x:xf numFmtId="0" fontId="5" fillId="7" borderId="10" xfId="0" applyNumberFormat="1" applyFont="1" applyFill="1" applyBorder="1" applyAlignment="1">
      <x:alignment horizontal="center"/>
    </x:xf>
    <x:xf numFmtId="0" fontId="5" fillId="7" borderId="7" xfId="0" applyNumberFormat="1" applyFont="1" applyFill="1" applyBorder="1" applyAlignment="1">
      <x:alignment horizontal="center"/>
    </x:xf>
    <x:xf numFmtId="0" fontId="6" fillId="7" borderId="11" xfId="0" applyNumberFormat="1" applyFont="1" applyFill="1" applyBorder="1"/>
    <x:xf numFmtId="0" fontId="6" fillId="7" borderId="0" xfId="0" applyNumberFormat="1" applyFont="1" applyFill="1" applyBorder="1"/>
    <x:xf numFmtId="0" fontId="6" fillId="7" borderId="12" xfId="0" applyNumberFormat="1" applyFont="1" applyFill="1" applyBorder="1"/>
    <x:xf numFmtId="0" fontId="6" fillId="7" borderId="11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12" xfId="0" applyNumberFormat="1" applyFont="1" applyFill="1" applyBorder="1" applyAlignment="1">
      <x:alignment horizontal="center"/>
    </x:xf>
    <x:xf numFmtId="201" fontId="6" fillId="7" borderId="1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7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3" xfId="0" applyNumberFormat="1" applyFont="1" applyFill="1" applyBorder="1"/>
    <x:xf numFmtId="0" fontId="0" fillId="8" borderId="13" xfId="0" applyNumberFormat="1" applyFont="1" applyFill="1" applyBorder="1"/>
    <x:xf numFmtId="0" fontId="0" fillId="8" borderId="1" xfId="0" applyNumberFormat="1" applyFont="1" applyFill="1" applyBorder="1"/>
    <x:xf numFmtId="0" fontId="5" fillId="8" borderId="9" xfId="0" applyNumberFormat="1" applyFont="1" applyFill="1" applyBorder="1"/>
    <x:xf numFmtId="0" fontId="5" fillId="8" borderId="10" xfId="0" applyNumberFormat="1" applyFont="1" applyFill="1" applyBorder="1"/>
    <x:xf numFmtId="0" fontId="5" fillId="8" borderId="7" xfId="0" applyNumberFormat="1" applyFont="1" applyFill="1" applyBorder="1"/>
    <x:xf numFmtId="0" fontId="5" fillId="8" borderId="9" xfId="0" applyNumberFormat="1" applyFont="1" applyFill="1" applyBorder="1" applyAlignment="1">
      <x:alignment horizontal="center"/>
    </x:xf>
    <x:xf numFmtId="0" fontId="5" fillId="8" borderId="10" xfId="0" applyNumberFormat="1" applyFont="1" applyFill="1" applyBorder="1" applyAlignment="1">
      <x:alignment horizontal="center"/>
    </x:xf>
    <x:xf numFmtId="0" fontId="5" fillId="8" borderId="7" xfId="0" applyNumberFormat="1" applyFont="1" applyFill="1" applyBorder="1" applyAlignment="1">
      <x:alignment horizontal="center"/>
    </x:xf>
    <x:xf numFmtId="0" fontId="6" fillId="8" borderId="11" xfId="0" applyNumberFormat="1" applyFont="1" applyFill="1" applyBorder="1"/>
    <x:xf numFmtId="0" fontId="6" fillId="8" borderId="0" xfId="0" applyNumberFormat="1" applyFont="1" applyFill="1" applyBorder="1"/>
    <x:xf numFmtId="0" fontId="6" fillId="8" borderId="12" xfId="0" applyNumberFormat="1" applyFont="1" applyFill="1" applyBorder="1"/>
    <x:xf numFmtId="0" fontId="6" fillId="8" borderId="11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/>
    </x:xf>
    <x:xf numFmtId="0" fontId="6" fillId="8" borderId="12" xfId="0" applyNumberFormat="1" applyFont="1" applyFill="1" applyBorder="1" applyAlignment="1">
      <x:alignment horizontal="center"/>
    </x:xf>
    <x:xf numFmtId="200" fontId="6" fillId="8" borderId="1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9" xfId="0" applyNumberFormat="1" applyFont="1" applyFill="1" applyBorder="1"/>
    <x:xf numFmtId="0" fontId="0" fillId="9" borderId="10" xfId="0" applyNumberFormat="1" applyFont="1" applyFill="1" applyBorder="1"/>
    <x:xf numFmtId="0" fontId="0" fillId="9" borderId="7" xfId="0" applyNumberFormat="1" applyFont="1" applyFill="1" applyBorder="1"/>
    <x:xf numFmtId="0" fontId="0" fillId="9" borderId="11" xfId="0" applyNumberFormat="1" applyFont="1" applyFill="1" applyBorder="1"/>
    <x:xf numFmtId="0" fontId="0" fillId="9" borderId="12" xfId="0" applyNumberFormat="1" applyFont="1" applyFill="1" applyBorder="1"/>
    <x:xf numFmtId="0" fontId="0" fillId="9" borderId="3" xfId="0" applyNumberFormat="1" applyFont="1" applyFill="1" applyBorder="1"/>
    <x:xf numFmtId="0" fontId="0" fillId="9" borderId="13" xfId="0" applyNumberFormat="1" applyFont="1" applyFill="1" applyBorder="1"/>
    <x:xf numFmtId="0" fontId="0" fillId="9" borderId="1" xfId="0" applyNumberFormat="1" applyFont="1" applyFill="1" applyBorder="1"/>
    <x:xf numFmtId="0" fontId="5" fillId="9" borderId="9" xfId="0" applyNumberFormat="1" applyFont="1" applyFill="1" applyBorder="1"/>
    <x:xf numFmtId="0" fontId="5" fillId="9" borderId="10" xfId="0" applyNumberFormat="1" applyFont="1" applyFill="1" applyBorder="1"/>
    <x:xf numFmtId="0" fontId="5" fillId="9" borderId="7" xfId="0" applyNumberFormat="1" applyFont="1" applyFill="1" applyBorder="1"/>
    <x:xf numFmtId="0" fontId="5" fillId="9" borderId="9" xfId="0" applyNumberFormat="1" applyFont="1" applyFill="1" applyBorder="1" applyAlignment="1">
      <x:alignment horizontal="center"/>
    </x:xf>
    <x:xf numFmtId="0" fontId="5" fillId="9" borderId="10" xfId="0" applyNumberFormat="1" applyFont="1" applyFill="1" applyBorder="1" applyAlignment="1">
      <x:alignment horizontal="center"/>
    </x:xf>
    <x:xf numFmtId="0" fontId="5" fillId="9" borderId="7" xfId="0" applyNumberFormat="1" applyFont="1" applyFill="1" applyBorder="1" applyAlignment="1">
      <x:alignment horizontal="center"/>
    </x:xf>
    <x:xf numFmtId="0" fontId="6" fillId="9" borderId="11" xfId="0" applyNumberFormat="1" applyFont="1" applyFill="1" applyBorder="1"/>
    <x:xf numFmtId="0" fontId="6" fillId="9" borderId="0" xfId="0" applyNumberFormat="1" applyFont="1" applyFill="1" applyBorder="1"/>
    <x:xf numFmtId="0" fontId="6" fillId="9" borderId="12" xfId="0" applyNumberFormat="1" applyFont="1" applyFill="1" applyBorder="1"/>
    <x:xf numFmtId="0" fontId="6" fillId="9" borderId="11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/>
    </x:xf>
    <x:xf numFmtId="0" fontId="6" fillId="9" borderId="12" xfId="0" applyNumberFormat="1" applyFont="1" applyFill="1" applyBorder="1" applyAlignment="1">
      <x:alignment horizontal="center"/>
    </x:xf>
    <x:xf numFmtId="204" fontId="6" fillId="9" borderId="1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1" xfId="0" applyNumberFormat="1" applyFont="1" applyFill="1" applyBorder="1"/>
    <x:xf numFmtId="0" fontId="7" fillId="10" borderId="2" xfId="0" applyNumberFormat="1" applyFont="1" applyFill="1" applyBorder="1"/>
    <x:xf numFmtId="0" fontId="7" fillId="10" borderId="3" xfId="0" applyNumberFormat="1" applyFont="1" applyFill="1" applyBorder="1"/>
    <x:xf numFmtId="0" fontId="7" fillId="10" borderId="4" xfId="0" applyNumberFormat="1" applyFont="1" applyFill="1" applyBorder="1"/>
    <x:xf numFmtId="0" fontId="7" fillId="10" borderId="5" xfId="0" applyNumberFormat="1" applyFont="1" applyFill="1" applyBorder="1"/>
    <x:xf numFmtId="0" fontId="7" fillId="10" borderId="6" xfId="0" applyNumberFormat="1" applyFont="1" applyFill="1" applyBorder="1"/>
    <x:xf numFmtId="0" fontId="7" fillId="10" borderId="7" xfId="0" applyNumberFormat="1" applyFont="1" applyFill="1" applyBorder="1"/>
    <x:xf numFmtId="0" fontId="7" fillId="10" borderId="8" xfId="0" applyNumberFormat="1" applyFont="1" applyFill="1" applyBorder="1"/>
    <x:xf numFmtId="0" fontId="7" fillId="10" borderId="9" xfId="0" applyNumberFormat="1" applyFont="1" applyFill="1" applyBorder="1"/>
    <x:xf numFmtId="0" fontId="7" fillId="10" borderId="1" xfId="0" applyNumberFormat="1" applyFont="1" applyFill="1" applyBorder="1" applyAlignment="1">
      <x:alignment wrapText="1"/>
    </x:xf>
    <x:xf numFmtId="0" fontId="7" fillId="10" borderId="2" xfId="0" applyNumberFormat="1" applyFont="1" applyFill="1" applyBorder="1" applyAlignment="1">
      <x:alignment wrapText="1"/>
    </x:xf>
    <x:xf numFmtId="0" fontId="7" fillId="10" borderId="3" xfId="0" applyNumberFormat="1" applyFont="1" applyFill="1" applyBorder="1" applyAlignment="1">
      <x:alignment wrapText="1"/>
    </x:xf>
    <x:xf numFmtId="0" fontId="7" fillId="10" borderId="4" xfId="0" applyNumberFormat="1" applyFont="1" applyFill="1" applyBorder="1" applyAlignment="1">
      <x:alignment wrapText="1"/>
    </x:xf>
    <x:xf numFmtId="0" fontId="7" fillId="10" borderId="5" xfId="0" applyNumberFormat="1" applyFont="1" applyFill="1" applyBorder="1" applyAlignment="1">
      <x:alignment wrapText="1"/>
    </x:xf>
    <x:xf numFmtId="0" fontId="7" fillId="10" borderId="6" xfId="0" applyNumberFormat="1" applyFont="1" applyFill="1" applyBorder="1" applyAlignment="1">
      <x:alignment wrapText="1"/>
    </x:xf>
    <x:xf numFmtId="0" fontId="7" fillId="10" borderId="7" xfId="0" applyNumberFormat="1" applyFont="1" applyFill="1" applyBorder="1" applyAlignment="1">
      <x:alignment wrapText="1"/>
    </x:xf>
    <x:xf numFmtId="0" fontId="7" fillId="10" borderId="8" xfId="0" applyNumberFormat="1" applyFont="1" applyFill="1" applyBorder="1" applyAlignment="1">
      <x:alignment wrapText="1"/>
    </x:xf>
    <x:xf numFmtId="0" fontId="7" fillId="10" borderId="9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1" fillId="4" borderId="9" xfId="0" applyNumberFormat="1" applyFont="1" applyFill="1" applyBorder="1" applyAlignment="1">
      <x:alignment horizontal="center"/>
    </x:xf>
    <x:xf numFmtId="0" fontId="11" fillId="4" borderId="10" xfId="0" applyNumberFormat="1" applyFont="1" applyFill="1" applyBorder="1" applyAlignment="1">
      <x:alignment horizontal="center"/>
    </x:xf>
    <x:xf numFmtId="0" fontId="11" fillId="4" borderId="7" xfId="0" applyNumberFormat="1" applyFont="1" applyFill="1" applyBorder="1" applyAlignment="1">
      <x:alignment horizontal="center"/>
    </x:xf>
    <x:xf numFmtId="0" fontId="11" fillId="6" borderId="9" xfId="0" applyNumberFormat="1" applyFont="1" applyFill="1" applyBorder="1" applyAlignment="1">
      <x:alignment horizontal="center"/>
    </x:xf>
    <x:xf numFmtId="0" fontId="11" fillId="6" borderId="10" xfId="0" applyNumberFormat="1" applyFont="1" applyFill="1" applyBorder="1" applyAlignment="1">
      <x:alignment horizontal="center"/>
    </x:xf>
    <x:xf numFmtId="0" fontId="11" fillId="6" borderId="7" xfId="0" applyNumberFormat="1" applyFont="1" applyFill="1" applyBorder="1" applyAlignment="1">
      <x:alignment horizontal="center"/>
    </x:xf>
    <x:xf numFmtId="0" fontId="11" fillId="7" borderId="9" xfId="0" applyNumberFormat="1" applyFont="1" applyFill="1" applyBorder="1" applyAlignment="1">
      <x:alignment horizontal="center"/>
    </x:xf>
    <x:xf numFmtId="0" fontId="11" fillId="7" borderId="10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8" borderId="9" xfId="0" applyNumberFormat="1" applyFont="1" applyFill="1" applyBorder="1" applyAlignment="1">
      <x:alignment horizontal="center"/>
    </x:xf>
    <x:xf numFmtId="0" fontId="11" fillId="8" borderId="10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9" borderId="9" xfId="0" applyNumberFormat="1" applyFont="1" applyFill="1" applyBorder="1" applyAlignment="1">
      <x:alignment horizontal="center"/>
    </x:xf>
    <x:xf numFmtId="0" fontId="11" fillId="9" borderId="10" xfId="0" applyNumberFormat="1" applyFont="1" applyFill="1" applyBorder="1" applyAlignment="1">
      <x:alignment horizontal="center"/>
    </x:xf>
    <x:xf numFmtId="0" fontId="11" fillId="9" borderId="7" xfId="0" applyNumberFormat="1" applyFont="1" applyFill="1" applyBorder="1" applyAlignment="1">
      <x:alignment horizontal="center"/>
    </x:xf>
    <x:xf numFmtId="0" fontId="10" fillId="4" borderId="11" xfId="0" applyNumberFormat="1" applyFont="1" applyFill="1" applyBorder="1"/>
    <x:xf numFmtId="0" fontId="10" fillId="4" borderId="0" xfId="0" applyNumberFormat="1" applyFont="1" applyFill="1" applyBorder="1"/>
    <x:xf numFmtId="0" fontId="10" fillId="4" borderId="12" xfId="0" applyNumberFormat="1" applyFont="1" applyFill="1" applyBorder="1"/>
    <x:xf numFmtId="0" fontId="10" fillId="6" borderId="11" xfId="0" applyNumberFormat="1" applyFont="1" applyFill="1" applyBorder="1"/>
    <x:xf numFmtId="0" fontId="10" fillId="6" borderId="0" xfId="0" applyNumberFormat="1" applyFont="1" applyFill="1" applyBorder="1"/>
    <x:xf numFmtId="0" fontId="10" fillId="6" borderId="12" xfId="0" applyNumberFormat="1" applyFont="1" applyFill="1" applyBorder="1"/>
    <x:xf numFmtId="0" fontId="10" fillId="7" borderId="11" xfId="0" applyNumberFormat="1" applyFont="1" applyFill="1" applyBorder="1"/>
    <x:xf numFmtId="0" fontId="10" fillId="7" borderId="0" xfId="0" applyNumberFormat="1" applyFont="1" applyFill="1" applyBorder="1"/>
    <x:xf numFmtId="0" fontId="10" fillId="7" borderId="12" xfId="0" applyNumberFormat="1" applyFont="1" applyFill="1" applyBorder="1"/>
    <x:xf numFmtId="0" fontId="10" fillId="8" borderId="11" xfId="0" applyNumberFormat="1" applyFont="1" applyFill="1" applyBorder="1"/>
    <x:xf numFmtId="0" fontId="10" fillId="8" borderId="0" xfId="0" applyNumberFormat="1" applyFont="1" applyFill="1" applyBorder="1"/>
    <x:xf numFmtId="0" fontId="10" fillId="8" borderId="12" xfId="0" applyNumberFormat="1" applyFont="1" applyFill="1" applyBorder="1"/>
    <x:xf numFmtId="0" fontId="10" fillId="9" borderId="11" xfId="0" applyNumberFormat="1" applyFont="1" applyFill="1" applyBorder="1"/>
    <x:xf numFmtId="0" fontId="10" fillId="9" borderId="0" xfId="0" applyNumberFormat="1" applyFont="1" applyFill="1" applyBorder="1"/>
    <x:xf numFmtId="0" fontId="10" fillId="9" borderId="12" xfId="0" applyNumberFormat="1" applyFont="1" applyFill="1" applyBorder="1"/>
    <x:xf numFmtId="201" fontId="12" fillId="4" borderId="11" xfId="0" applyNumberFormat="1" applyFont="1" applyFill="1" applyBorder="1" applyAlignment="1">
      <x:alignment horizontal="center"/>
    </x:xf>
    <x:xf numFmtId="0" fontId="12" fillId="4" borderId="0" xfId="0" applyNumberFormat="1" applyFont="1" applyFill="1" applyBorder="1" applyAlignment="1">
      <x:alignment horizontal="center"/>
    </x:xf>
    <x:xf numFmtId="0" fontId="12" fillId="4" borderId="12" xfId="0" applyNumberFormat="1" applyFont="1" applyFill="1" applyBorder="1" applyAlignment="1">
      <x:alignment horizontal="center"/>
    </x:xf>
    <x:xf numFmtId="201" fontId="12" fillId="6" borderId="11" xfId="0" applyNumberFormat="1" applyFont="1" applyFill="1" applyBorder="1" applyAlignment="1">
      <x:alignment horizontal="center"/>
    </x:xf>
    <x:xf numFmtId="0" fontId="12" fillId="6" borderId="0" xfId="0" applyNumberFormat="1" applyFont="1" applyFill="1" applyBorder="1" applyAlignment="1">
      <x:alignment horizontal="center"/>
    </x:xf>
    <x:xf numFmtId="0" fontId="12" fillId="6" borderId="12" xfId="0" applyNumberFormat="1" applyFont="1" applyFill="1" applyBorder="1" applyAlignment="1">
      <x:alignment horizontal="center"/>
    </x:xf>
    <x:xf numFmtId="201" fontId="12" fillId="7" borderId="11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/>
    </x:xf>
    <x:xf numFmtId="0" fontId="12" fillId="7" borderId="12" xfId="0" applyNumberFormat="1" applyFont="1" applyFill="1" applyBorder="1" applyAlignment="1">
      <x:alignment horizontal="center"/>
    </x:xf>
    <x:xf numFmtId="200" fontId="12" fillId="8" borderId="11" xfId="0" applyNumberFormat="1" applyFont="1" applyFill="1" applyBorder="1" applyAlignment="1">
      <x:alignment horizontal="center"/>
    </x:xf>
    <x:xf numFmtId="0" fontId="12" fillId="8" borderId="0" xfId="0" applyNumberFormat="1" applyFont="1" applyFill="1" applyBorder="1" applyAlignment="1">
      <x:alignment horizontal="center"/>
    </x:xf>
    <x:xf numFmtId="0" fontId="12" fillId="8" borderId="12" xfId="0" applyNumberFormat="1" applyFont="1" applyFill="1" applyBorder="1" applyAlignment="1">
      <x:alignment horizontal="center"/>
    </x:xf>
    <x:xf numFmtId="204" fontId="12" fillId="9" borderId="11" xfId="0" applyNumberFormat="1" applyFont="1" applyFill="1" applyBorder="1" applyAlignment="1">
      <x:alignment horizontal="center"/>
    </x:xf>
    <x:xf numFmtId="0" fontId="12" fillId="9" borderId="0" xfId="0" applyNumberFormat="1" applyFont="1" applyFill="1" applyBorder="1" applyAlignment="1">
      <x:alignment horizontal="center"/>
    </x:xf>
    <x:xf numFmtId="0" fontId="12" fillId="9" borderId="12" xfId="0" applyNumberFormat="1" applyFont="1" applyFill="1" applyBorder="1" applyAlignment="1">
      <x:alignment horizontal="center"/>
    </x:xf>
    <x:xf numFmtId="0" fontId="10" fillId="4" borderId="3" xfId="0" applyNumberFormat="1" applyFont="1" applyFill="1" applyBorder="1"/>
    <x:xf numFmtId="0" fontId="10" fillId="4" borderId="13" xfId="0" applyNumberFormat="1" applyFont="1" applyFill="1" applyBorder="1"/>
    <x:xf numFmtId="0" fontId="10" fillId="4" borderId="1" xfId="0" applyNumberFormat="1" applyFont="1" applyFill="1" applyBorder="1"/>
    <x:xf numFmtId="0" fontId="10" fillId="6" borderId="3" xfId="0" applyNumberFormat="1" applyFont="1" applyFill="1" applyBorder="1"/>
    <x:xf numFmtId="0" fontId="10" fillId="6" borderId="13" xfId="0" applyNumberFormat="1" applyFont="1" applyFill="1" applyBorder="1"/>
    <x:xf numFmtId="0" fontId="10" fillId="6" borderId="1" xfId="0" applyNumberFormat="1" applyFont="1" applyFill="1" applyBorder="1"/>
    <x:xf numFmtId="0" fontId="10" fillId="7" borderId="3" xfId="0" applyNumberFormat="1" applyFont="1" applyFill="1" applyBorder="1"/>
    <x:xf numFmtId="0" fontId="10" fillId="7" borderId="13" xfId="0" applyNumberFormat="1" applyFont="1" applyFill="1" applyBorder="1"/>
    <x:xf numFmtId="0" fontId="10" fillId="7" borderId="1" xfId="0" applyNumberFormat="1" applyFont="1" applyFill="1" applyBorder="1"/>
    <x:xf numFmtId="0" fontId="10" fillId="8" borderId="3" xfId="0" applyNumberFormat="1" applyFont="1" applyFill="1" applyBorder="1"/>
    <x:xf numFmtId="0" fontId="10" fillId="8" borderId="13" xfId="0" applyNumberFormat="1" applyFont="1" applyFill="1" applyBorder="1"/>
    <x:xf numFmtId="0" fontId="10" fillId="8" borderId="1" xfId="0" applyNumberFormat="1" applyFont="1" applyFill="1" applyBorder="1"/>
    <x:xf numFmtId="0" fontId="10" fillId="9" borderId="3" xfId="0" applyNumberFormat="1" applyFont="1" applyFill="1" applyBorder="1"/>
    <x:xf numFmtId="0" fontId="10" fillId="9" borderId="13" xfId="0" applyNumberFormat="1" applyFont="1" applyFill="1" applyBorder="1"/>
    <x:xf numFmtId="0" fontId="10" fillId="9" borderId="1" xfId="0" applyNumberFormat="1" applyFont="1" applyFill="1" applyBorder="1"/>
    <x:xf numFmtId="0" fontId="13" fillId="2" borderId="0" xfId="0" applyNumberFormat="1" applyFont="1" applyFill="1" applyBorder="1"/>
    <x:xf numFmtId="0" fontId="13" fillId="3" borderId="1" xfId="0" applyNumberFormat="1" applyFont="1" applyFill="1" applyBorder="1"/>
    <x:xf numFmtId="0" fontId="13" fillId="3" borderId="2" xfId="0" applyNumberFormat="1" applyFont="1" applyFill="1" applyBorder="1"/>
    <x:xf numFmtId="0" fontId="13" fillId="3" borderId="3" xfId="0" applyNumberFormat="1" applyFont="1" applyFill="1" applyBorder="1"/>
    <x:xf numFmtId="0" fontId="14" fillId="10" borderId="1" xfId="0" applyNumberFormat="1" applyFont="1" applyFill="1" applyBorder="1" applyAlignment="1">
      <x:alignment wrapText="1"/>
    </x:xf>
    <x:xf numFmtId="0" fontId="14" fillId="10" borderId="2" xfId="0" applyNumberFormat="1" applyFont="1" applyFill="1" applyBorder="1" applyAlignment="1">
      <x:alignment wrapText="1"/>
    </x:xf>
    <x:xf numFmtId="0" fontId="14" fillId="10" borderId="3" xfId="0" applyNumberFormat="1" applyFont="1" applyFill="1" applyBorder="1" applyAlignment="1">
      <x:alignment wrapText="1"/>
    </x:xf>
    <x:xf numFmtId="0" fontId="10" fillId="0" borderId="4" xfId="0" applyNumberFormat="1" applyFont="1" applyFill="1" applyBorder="1"/>
    <x:xf numFmtId="201" fontId="10" fillId="0" borderId="5" xfId="0" applyNumberFormat="1" applyFont="1" applyFill="1" applyBorder="1"/>
    <x:xf numFmtId="0" fontId="10" fillId="0" borderId="6" xfId="0" applyNumberFormat="1" applyFont="1" applyFill="1" applyBorder="1"/>
    <x:xf numFmtId="200" fontId="10" fillId="0" borderId="5" xfId="0" applyNumberFormat="1" applyFont="1" applyFill="1" applyBorder="1"/>
    <x:xf numFmtId="0" fontId="14" fillId="10" borderId="4" xfId="0" applyNumberFormat="1" applyFont="1" applyFill="1" applyBorder="1" applyAlignment="1">
      <x:alignment wrapText="1"/>
    </x:xf>
    <x:xf numFmtId="0" fontId="14" fillId="10" borderId="5" xfId="0" applyNumberFormat="1" applyFont="1" applyFill="1" applyBorder="1" applyAlignment="1">
      <x:alignment wrapText="1"/>
    </x:xf>
    <x:xf numFmtId="0" fontId="14" fillId="10" borderId="6" xfId="0" applyNumberFormat="1" applyFont="1" applyFill="1" applyBorder="1" applyAlignment="1">
      <x:alignment wrapText="1"/>
    </x:xf>
    <x:xf numFmtId="0" fontId="10" fillId="0" borderId="5" xfId="0" applyNumberFormat="1" applyFont="1" applyFill="1" applyBorder="1"/>
    <x:xf numFmtId="203" fontId="10" fillId="0" borderId="5" xfId="0" applyNumberFormat="1" applyFont="1" applyFill="1" applyBorder="1"/>
    <x:xf numFmtId="0" fontId="10" fillId="0" borderId="7" xfId="0" applyNumberFormat="1" applyFont="1" applyFill="1" applyBorder="1"/>
    <x:xf numFmtId="201" fontId="10" fillId="0" borderId="8" xfId="0" applyNumberFormat="1" applyFont="1" applyFill="1" applyBorder="1"/>
    <x:xf numFmtId="200" fontId="10" fillId="0" borderId="8" xfId="0" applyNumberFormat="1" applyFont="1" applyFill="1" applyBorder="1"/>
    <x:xf numFmtId="0" fontId="10" fillId="0" borderId="9" xfId="0" applyNumberFormat="1" applyFont="1" applyFill="1" applyBorder="1"/>
    <x:xf numFmtId="204" fontId="10" fillId="0" borderId="5" xfId="0" applyNumberFormat="1" applyFont="1" applyFill="1" applyBorder="1"/>
    <x:xf numFmtId="0" fontId="10" fillId="0" borderId="8" xfId="0" applyNumberFormat="1" applyFont="1" applyFill="1" applyBorder="1"/>
    <x:xf numFmtId="204" fontId="10" fillId="0" borderId="8" xfId="0" applyNumberFormat="1" applyFont="1" applyFill="1" applyBorder="1"/>
    <x:xf numFmtId="0" fontId="14" fillId="10" borderId="7" xfId="0" applyNumberFormat="1" applyFont="1" applyFill="1" applyBorder="1" applyAlignment="1">
      <x:alignment wrapText="1"/>
    </x:xf>
    <x:xf numFmtId="0" fontId="14" fillId="10" borderId="8" xfId="0" applyNumberFormat="1" applyFont="1" applyFill="1" applyBorder="1" applyAlignment="1">
      <x:alignment wrapText="1"/>
    </x:xf>
    <x:xf numFmtId="0" fontId="14" fillId="1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36a6907e34841" /><Relationship Type="http://schemas.openxmlformats.org/officeDocument/2006/relationships/theme" Target="/xl/theme/theme1.xml" Id="R916eb1f7a66343df" /><Relationship Type="http://schemas.openxmlformats.org/officeDocument/2006/relationships/sharedStrings" Target="/xl/sharedStrings.xml" Id="Rbb39c83527fe429d" /><Relationship Type="http://schemas.openxmlformats.org/officeDocument/2006/relationships/worksheet" Target="/xl/worksheets/sheet1.xml" Id="Rd155aa1b7ed74993" /><Relationship Type="http://schemas.openxmlformats.org/officeDocument/2006/relationships/worksheet" Target="/xl/worksheets/sheet2.xml" Id="R7a5cfe3557304072" /><Relationship Type="http://schemas.openxmlformats.org/officeDocument/2006/relationships/worksheet" Target="/xl/worksheets/sheet3.xml" Id="Rd74bf0cea4d141ca" /><Relationship Type="http://schemas.openxmlformats.org/officeDocument/2006/relationships/worksheet" Target="/xl/worksheets/sheet4.xml" Id="Ra145b73708cb4b16" /><Relationship Type="http://schemas.openxmlformats.org/officeDocument/2006/relationships/worksheet" Target="/xl/worksheets/sheet5.xml" Id="R4c427722675c4b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1f7143537d4217" /><Relationship Type="http://schemas.openxmlformats.org/officeDocument/2006/relationships/chart" Target="/xl/drawings/charts/chart2.xml" Id="Rb413d290e5c340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Expense forecast · Actual vs three models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Actual</c:v>
          </c:tx>
          <c:marker>
            <c:symbol val="none"/>
          </c:marker>
          <c:cat>
            <c:strRef>
              <c:f>'Model Results'!$P$4:$P$27</c:f>
              <c:strCache>
                <c:ptCount val="0"/>
              </c:strCache>
            </c:strRef>
          </c:cat>
          <c:val>
            <c:numRef>
              <c:f>'Model Results'!$Q$4:$Q$27</c:f>
              <c:numCache>
                <c:formatCode>₹#,##0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ARIMA</c:v>
          </c:tx>
          <c:marker>
            <c:symbol val="none"/>
          </c:marker>
          <c:cat>
            <c:strRef>
              <c:f>'Model Results'!$P$4:$P$27</c:f>
              <c:strCache>
                <c:ptCount val="0"/>
              </c:strCache>
            </c:strRef>
          </c:cat>
          <c:val>
            <c:numRef>
              <c:f>'Model Results'!$R$4:$R$27</c:f>
              <c:numCache>
                <c:formatCode>₹#,##0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Prophet</c:v>
          </c:tx>
          <c:marker>
            <c:symbol val="none"/>
          </c:marker>
          <c:cat>
            <c:strRef>
              <c:f>'Model Results'!$P$4:$P$27</c:f>
              <c:strCache>
                <c:ptCount val="0"/>
              </c:strCache>
            </c:strRef>
          </c:cat>
          <c:val>
            <c:numRef>
              <c:f>'Model Results'!$S$4:$S$27</c:f>
              <c:numCache>
                <c:formatCode>₹#,##0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Linear</c:v>
          </c:tx>
          <c:marker>
            <c:symbol val="none"/>
          </c:marker>
          <c:cat>
            <c:strRef>
              <c:f>'Model Results'!$P$4:$P$27</c:f>
              <c:strCache>
                <c:ptCount val="0"/>
              </c:strCache>
            </c:strRef>
          </c:cat>
          <c:val>
            <c:numRef>
              <c:f>'Model Results'!$T$4:$T$27</c:f>
              <c:numCache>
                <c:formatCode>₹#,##0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Ensemble</c:v>
          </c:tx>
          <c:marker>
            <c:symbol val="none"/>
          </c:marker>
          <c:cat>
            <c:strRef>
              <c:f>'Model Results'!$P$4:$P$27</c:f>
              <c:strCache>
                <c:ptCount val="0"/>
              </c:strCache>
            </c:strRef>
          </c:cat>
          <c:val>
            <c:numRef>
              <c:f>'Model Results'!$U$4:$U$27</c:f>
              <c:numCache>
                <c:formatCode>₹#,##0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Productivity &amp; habit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Study Hours</c:v>
          </c:tx>
          <c:marker>
            <c:symbol val="none"/>
          </c:marker>
          <c:cat>
            <c:strRef>
              <c:f>'Dashboard'!$R$4:$R$27</c:f>
              <c:strCache>
                <c:ptCount val="0"/>
              </c:strCache>
            </c:strRef>
          </c:cat>
          <c:val>
            <c:numRef>
              <c:f>'Dashboard'!$S$4:$S$27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Focus Score</c:v>
          </c:tx>
          <c:marker>
            <c:symbol val="none"/>
          </c:marker>
          <c:cat>
            <c:strRef>
              <c:f>'Dashboard'!$R$4:$R$27</c:f>
              <c:strCache>
                <c:ptCount val="0"/>
              </c:strCache>
            </c:strRef>
          </c:cat>
          <c:val>
            <c:numRef>
              <c:f>'Dashboard'!$T$4:$T$27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Habit Completion</c:v>
          </c:tx>
          <c:marker>
            <c:symbol val="none"/>
          </c:marker>
          <c:cat>
            <c:strRef>
              <c:f>'Dashboard'!$R$4:$R$27</c:f>
              <c:strCache>
                <c:ptCount val="0"/>
              </c:strCache>
            </c:strRef>
          </c:cat>
          <c:val>
            <c:numRef>
              <c:f>'Dashboard'!$U$4:$U$27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1f7143537d4217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13d290e5c3403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a709d7437942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197" t="str">
        <x:v>Forecasting &amp; Predictive Analytics</x:v>
      </x:c>
      <x:c r="B1" s="197"/>
      <x:c r="C1" s="197"/>
      <x:c r="D1" s="197"/>
      <x:c r="E1" s="197"/>
      <x:c r="F1" s="197"/>
      <x:c r="G1" s="197"/>
      <x:c r="H1" s="197"/>
      <x:c r="I1" s="197"/>
      <x:c r="J1" s="197"/>
      <x:c r="K1" s="197"/>
      <x:c r="L1" s="197"/>
      <x:c r="M1" s="197"/>
      <x:c r="N1" s="197"/>
      <x:c r="O1" s="197"/>
      <x:c r="P1" s="197"/>
    </x:row>
    <x:row r="2">
      <x:c r="A2" s="197"/>
      <x:c r="B2" s="197"/>
      <x:c r="C2" s="197"/>
      <x:c r="D2" s="197"/>
      <x:c r="E2" s="197"/>
      <x:c r="F2" s="197"/>
      <x:c r="G2" s="197"/>
      <x:c r="H2" s="197"/>
      <x:c r="I2" s="197"/>
      <x:c r="J2" s="197"/>
      <x:c r="K2" s="197"/>
      <x:c r="L2" s="197"/>
      <x:c r="M2" s="197"/>
      <x:c r="N2" s="197"/>
      <x:c r="O2" s="197"/>
      <x:c r="P2" s="197"/>
    </x:row>
    <x:row r="3">
      <x:c r="A3" s="198" t="str">
        <x:v>A complete demo dataset for financial, productivity, habit, and goal forecasting</x:v>
      </x:c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  <x:c r="O3" s="198"/>
      <x:c r="P3" s="198"/>
      <x:c r="R3" t="str">
        <x:v>Month</x:v>
      </x:c>
      <x:c r="S3" t="str">
        <x:v>Study Hours</x:v>
      </x:c>
      <x:c r="T3" t="str">
        <x:v>Focus Score</x:v>
      </x:c>
      <x:c r="U3" t="str">
        <x:v>Habit Completion</x:v>
      </x:c>
    </x:row>
    <x:row r="4">
      <x:c r="A4" s="199"/>
      <x:c r="B4" s="199"/>
      <x:c r="C4" s="199"/>
      <x:c r="D4" s="199"/>
      <x:c r="E4" s="199"/>
      <x:c r="F4" s="199"/>
      <x:c r="G4" s="199"/>
      <x:c r="H4" s="199"/>
      <x:c r="I4" s="199"/>
      <x:c r="J4" s="199"/>
      <x:c r="K4" s="199"/>
      <x:c r="L4" s="199"/>
      <x:c r="M4" s="199"/>
      <x:c r="N4" s="199"/>
      <x:c r="O4" s="199"/>
      <x:c r="P4" s="199"/>
      <x:c r="R4" t="str">
        <x:f>TEXT('Monthly Data'!A4,"mmm yy")</x:f>
        <x:v>Mar 25</x:v>
      </x:c>
      <x:c r="S4" t="n">
        <x:f>'Monthly Data'!G4</x:f>
        <x:v>8.2</x:v>
      </x:c>
      <x:c r="T4" t="n">
        <x:f>'Monthly Data'!H4*15</x:f>
        <x:v>9.3</x:v>
      </x:c>
      <x:c r="U4" t="n">
        <x:f>'Monthly Data'!I4*15</x:f>
        <x:v>8.7</x:v>
      </x:c>
    </x:row>
    <x:row r="5">
      <x:c r="A5" s="200" t="str">
        <x:v>Projected income</x:v>
      </x:c>
      <x:c r="B5" s="201"/>
      <x:c r="C5" s="202"/>
      <x:c r="D5" s="203" t="str">
        <x:v>Projected expenses</x:v>
      </x:c>
      <x:c r="E5" s="204"/>
      <x:c r="F5" s="205"/>
      <x:c r="G5" s="206" t="str">
        <x:v>Projected savings</x:v>
      </x:c>
      <x:c r="H5" s="207"/>
      <x:c r="I5" s="208"/>
      <x:c r="J5" s="209" t="str">
        <x:v>Savings rate</x:v>
      </x:c>
      <x:c r="K5" s="210"/>
      <x:c r="L5" s="211"/>
      <x:c r="M5" s="212" t="str">
        <x:v>Goal probability</x:v>
      </x:c>
      <x:c r="N5" s="213"/>
      <x:c r="O5" s="213"/>
      <x:c r="P5" s="214"/>
      <x:c r="R5" t="str">
        <x:f>TEXT('Monthly Data'!A5,"mmm yy")</x:f>
        <x:v>Apr 25</x:v>
      </x:c>
      <x:c r="S5" t="n">
        <x:f>'Monthly Data'!G5</x:f>
        <x:v>8.8</x:v>
      </x:c>
      <x:c r="T5" t="n">
        <x:f>'Monthly Data'!H5*15</x:f>
        <x:v>9.6</x:v>
      </x:c>
      <x:c r="U5" t="n">
        <x:f>'Monthly Data'!I5*15</x:f>
        <x:v>9</x:v>
      </x:c>
    </x:row>
    <x:row r="6">
      <x:c r="A6" s="215"/>
      <x:c r="B6" s="216"/>
      <x:c r="C6" s="217"/>
      <x:c r="D6" s="218"/>
      <x:c r="E6" s="219"/>
      <x:c r="F6" s="220"/>
      <x:c r="G6" s="221"/>
      <x:c r="H6" s="222"/>
      <x:c r="I6" s="223"/>
      <x:c r="J6" s="224"/>
      <x:c r="K6" s="225"/>
      <x:c r="L6" s="226"/>
      <x:c r="M6" s="227"/>
      <x:c r="N6" s="228"/>
      <x:c r="O6" s="228"/>
      <x:c r="P6" s="229"/>
      <x:c r="R6" t="str">
        <x:f>TEXT('Monthly Data'!A6,"mmm yy")</x:f>
        <x:v>May 25</x:v>
      </x:c>
      <x:c r="S6" t="n">
        <x:f>'Monthly Data'!G6</x:f>
        <x:v>8.5</x:v>
      </x:c>
      <x:c r="T6" t="n">
        <x:f>'Monthly Data'!H6*15</x:f>
        <x:v>9.45</x:v>
      </x:c>
      <x:c r="U6" t="n">
        <x:f>'Monthly Data'!I6*15</x:f>
        <x:v>8.85</x:v>
      </x:c>
    </x:row>
    <x:row r="7">
      <x:c r="A7" s="230" t="str">
        <x:f>"₹ "&amp;TEXT('Model Results'!F9,"#,##0")</x:f>
        <x:v>₹ 92,734</x:v>
      </x:c>
      <x:c r="B7" s="231"/>
      <x:c r="C7" s="232"/>
      <x:c r="D7" s="233" t="str">
        <x:f>"₹ "&amp;TEXT('Model Results'!E9,"#,##0")</x:f>
        <x:v>₹ 70,462</x:v>
      </x:c>
      <x:c r="E7" s="234"/>
      <x:c r="F7" s="235"/>
      <x:c r="G7" s="236" t="str">
        <x:f>"₹ "&amp;TEXT('Model Results'!J9,"#,##0")</x:f>
        <x:v>₹ 22,272</x:v>
      </x:c>
      <x:c r="H7" s="237"/>
      <x:c r="I7" s="238"/>
      <x:c r="J7" s="239" t="str">
        <x:f>TEXT('Model Results'!J9/'Model Results'!F9,"0.0%")</x:f>
        <x:v>24.0%</x:v>
      </x:c>
      <x:c r="K7" s="240"/>
      <x:c r="L7" s="241"/>
      <x:c r="M7" s="242" t="str">
        <x:f>TEXT('Model Results'!N9,"0%")</x:f>
        <x:v>100%</x:v>
      </x:c>
      <x:c r="N7" s="243"/>
      <x:c r="O7" s="243"/>
      <x:c r="P7" s="244"/>
      <x:c r="R7" t="str">
        <x:f>TEXT('Monthly Data'!A7,"mmm yy")</x:f>
        <x:v>Jun 25</x:v>
      </x:c>
      <x:c r="S7" t="n">
        <x:f>'Monthly Data'!G7</x:f>
        <x:v>9.1</x:v>
      </x:c>
      <x:c r="T7" t="n">
        <x:f>'Monthly Data'!H7*15</x:f>
        <x:v>9.9</x:v>
      </x:c>
      <x:c r="U7" t="n">
        <x:f>'Monthly Data'!I7*15</x:f>
        <x:v>9.3</x:v>
      </x:c>
    </x:row>
    <x:row r="8">
      <x:c r="A8" s="245"/>
      <x:c r="B8" s="246"/>
      <x:c r="C8" s="247"/>
      <x:c r="D8" s="248"/>
      <x:c r="E8" s="249"/>
      <x:c r="F8" s="250"/>
      <x:c r="G8" s="251"/>
      <x:c r="H8" s="252"/>
      <x:c r="I8" s="253"/>
      <x:c r="J8" s="254"/>
      <x:c r="K8" s="255"/>
      <x:c r="L8" s="256"/>
      <x:c r="M8" s="257"/>
      <x:c r="N8" s="258"/>
      <x:c r="O8" s="258"/>
      <x:c r="P8" s="259"/>
      <x:c r="R8" t="str">
        <x:f>TEXT('Monthly Data'!A8,"mmm yy")</x:f>
        <x:v>Jul 25</x:v>
      </x:c>
      <x:c r="S8" t="n">
        <x:f>'Monthly Data'!G8</x:f>
        <x:v>9.4</x:v>
      </x:c>
      <x:c r="T8" t="n">
        <x:f>'Monthly Data'!H8*15</x:f>
        <x:v>10.05</x:v>
      </x:c>
      <x:c r="U8" t="n">
        <x:f>'Monthly Data'!I8*15</x:f>
        <x:v>9.45</x:v>
      </x:c>
    </x:row>
    <x:row r="9">
      <x:c r="A9" s="199"/>
      <x:c r="B9" s="199"/>
      <x:c r="C9" s="199"/>
      <x:c r="D9" s="199"/>
      <x:c r="E9" s="199"/>
      <x:c r="F9" s="199"/>
      <x:c r="G9" s="199"/>
      <x:c r="H9" s="199"/>
      <x:c r="I9" s="199"/>
      <x:c r="J9" s="199"/>
      <x:c r="K9" s="199"/>
      <x:c r="L9" s="199"/>
      <x:c r="M9" s="199"/>
      <x:c r="N9" s="199"/>
      <x:c r="O9" s="199"/>
      <x:c r="P9" s="199"/>
      <x:c r="R9" t="str">
        <x:f>TEXT('Monthly Data'!A9,"mmm yy")</x:f>
        <x:v>Aug 25</x:v>
      </x:c>
      <x:c r="S9" t="n">
        <x:f>'Monthly Data'!G9</x:f>
        <x:v>9.2</x:v>
      </x:c>
      <x:c r="T9" t="n">
        <x:f>'Monthly Data'!H9*15</x:f>
        <x:v>10.200000000000001</x:v>
      </x:c>
      <x:c r="U9" t="n">
        <x:f>'Monthly Data'!I9*15</x:f>
        <x:v>9.75</x:v>
      </x:c>
    </x:row>
    <x:row r="10">
      <x:c r="A10" s="199"/>
      <x:c r="B10" s="199"/>
      <x:c r="C10" s="199"/>
      <x:c r="D10" s="199"/>
      <x:c r="E10" s="199"/>
      <x:c r="F10" s="199"/>
      <x:c r="G10" s="199"/>
      <x:c r="H10" s="199"/>
      <x:c r="I10" s="199"/>
      <x:c r="J10" s="199"/>
      <x:c r="K10" s="199"/>
      <x:c r="L10" s="199"/>
      <x:c r="M10" s="199"/>
      <x:c r="N10" s="199"/>
      <x:c r="O10" s="199"/>
      <x:c r="P10" s="199"/>
      <x:c r="R10" t="str">
        <x:f>TEXT('Monthly Data'!A10,"mmm yy")</x:f>
        <x:v>Sep 25</x:v>
      </x:c>
      <x:c r="S10" t="n">
        <x:f>'Monthly Data'!G10</x:f>
        <x:v>10.1</x:v>
      </x:c>
      <x:c r="T10" t="n">
        <x:f>'Monthly Data'!H10*15</x:f>
        <x:v>10.5</x:v>
      </x:c>
      <x:c r="U10" t="n">
        <x:f>'Monthly Data'!I10*15</x:f>
        <x:v>9.9</x:v>
      </x:c>
    </x:row>
    <x:row r="11">
      <x:c r="A11" s="199"/>
      <x:c r="B11" s="199"/>
      <x:c r="C11" s="199"/>
      <x:c r="D11" s="199"/>
      <x:c r="E11" s="199"/>
      <x:c r="F11" s="199"/>
      <x:c r="G11" s="199"/>
      <x:c r="H11" s="199"/>
      <x:c r="I11" s="199"/>
      <x:c r="J11" s="199"/>
      <x:c r="K11" s="199"/>
      <x:c r="L11" s="199"/>
      <x:c r="M11" s="199"/>
      <x:c r="N11" s="199"/>
      <x:c r="O11" s="199"/>
      <x:c r="P11" s="199"/>
      <x:c r="R11" t="str">
        <x:f>TEXT('Monthly Data'!A11,"mmm yy")</x:f>
        <x:v>Oct 25</x:v>
      </x:c>
      <x:c r="S11" t="n">
        <x:f>'Monthly Data'!G11</x:f>
        <x:v>10.4</x:v>
      </x:c>
      <x:c r="T11" t="n">
        <x:f>'Monthly Data'!H11*15</x:f>
        <x:v>10.649999999999999</x:v>
      </x:c>
      <x:c r="U11" t="n">
        <x:f>'Monthly Data'!I11*15</x:f>
        <x:v>10.200000000000001</x:v>
      </x:c>
    </x:row>
    <x:row r="12">
      <x:c r="A12" s="199"/>
      <x:c r="B12" s="199"/>
      <x:c r="C12" s="199"/>
      <x:c r="D12" s="199"/>
      <x:c r="E12" s="199"/>
      <x:c r="F12" s="199"/>
      <x:c r="G12" s="199"/>
      <x:c r="H12" s="199"/>
      <x:c r="I12" s="199"/>
      <x:c r="J12" s="199"/>
      <x:c r="K12" s="199"/>
      <x:c r="L12" s="199"/>
      <x:c r="M12" s="199"/>
      <x:c r="N12" s="199"/>
      <x:c r="O12" s="199"/>
      <x:c r="P12" s="199"/>
      <x:c r="R12" t="str">
        <x:f>TEXT('Monthly Data'!A12,"mmm yy")</x:f>
        <x:v>Nov 25</x:v>
      </x:c>
      <x:c r="S12" t="n">
        <x:f>'Monthly Data'!G12</x:f>
        <x:v>10</x:v>
      </x:c>
      <x:c r="T12" t="n">
        <x:f>'Monthly Data'!H12*15</x:f>
        <x:v>10.799999999999999</x:v>
      </x:c>
      <x:c r="U12" t="n">
        <x:f>'Monthly Data'!I12*15</x:f>
        <x:v>10.5</x:v>
      </x:c>
    </x:row>
    <x:row r="13">
      <x:c r="A13" s="199"/>
      <x:c r="B13" s="199"/>
      <x:c r="C13" s="199"/>
      <x:c r="D13" s="199"/>
      <x:c r="E13" s="199"/>
      <x:c r="F13" s="199"/>
      <x:c r="G13" s="199"/>
      <x:c r="H13" s="199"/>
      <x:c r="I13" s="199"/>
      <x:c r="J13" s="199"/>
      <x:c r="K13" s="199"/>
      <x:c r="L13" s="199"/>
      <x:c r="M13" s="199"/>
      <x:c r="N13" s="199"/>
      <x:c r="O13" s="199"/>
      <x:c r="P13" s="199"/>
      <x:c r="R13" t="str">
        <x:f>TEXT('Monthly Data'!A13,"mmm yy")</x:f>
        <x:v>Dec 25</x:v>
      </x:c>
      <x:c r="S13" t="n">
        <x:f>'Monthly Data'!G13</x:f>
        <x:v>10.8</x:v>
      </x:c>
      <x:c r="T13" t="n">
        <x:f>'Monthly Data'!H13*15</x:f>
        <x:v>10.95</x:v>
      </x:c>
      <x:c r="U13" t="n">
        <x:f>'Monthly Data'!I13*15</x:f>
        <x:v>10.35</x:v>
      </x:c>
    </x:row>
    <x:row r="14">
      <x:c r="A14" s="199"/>
      <x:c r="B14" s="199"/>
      <x:c r="C14" s="199"/>
      <x:c r="D14" s="199"/>
      <x:c r="E14" s="199"/>
      <x:c r="F14" s="199"/>
      <x:c r="G14" s="199"/>
      <x:c r="H14" s="199"/>
      <x:c r="I14" s="199"/>
      <x:c r="J14" s="199"/>
      <x:c r="K14" s="199"/>
      <x:c r="L14" s="199"/>
      <x:c r="M14" s="199"/>
      <x:c r="N14" s="199"/>
      <x:c r="O14" s="199"/>
      <x:c r="P14" s="199"/>
      <x:c r="R14" t="str">
        <x:f>TEXT('Monthly Data'!A14,"mmm yy")</x:f>
        <x:v>Jan 26</x:v>
      </x:c>
      <x:c r="S14" t="n">
        <x:f>'Monthly Data'!G14</x:f>
        <x:v>11.2</x:v>
      </x:c>
      <x:c r="T14" t="n">
        <x:f>'Monthly Data'!H14*15</x:f>
        <x:v>11.25</x:v>
      </x:c>
      <x:c r="U14" t="n">
        <x:f>'Monthly Data'!I14*15</x:f>
        <x:v>10.799999999999999</x:v>
      </x:c>
    </x:row>
    <x:row r="15">
      <x:c r="A15" s="199"/>
      <x:c r="B15" s="199"/>
      <x:c r="C15" s="199"/>
      <x:c r="D15" s="199"/>
      <x:c r="E15" s="199"/>
      <x:c r="F15" s="199"/>
      <x:c r="G15" s="199"/>
      <x:c r="H15" s="199"/>
      <x:c r="I15" s="199"/>
      <x:c r="J15" s="199"/>
      <x:c r="K15" s="199"/>
      <x:c r="L15" s="199"/>
      <x:c r="M15" s="199"/>
      <x:c r="N15" s="199"/>
      <x:c r="O15" s="199"/>
      <x:c r="P15" s="199"/>
      <x:c r="R15" t="str">
        <x:f>TEXT('Monthly Data'!A15,"mmm yy")</x:f>
        <x:v>Feb 26</x:v>
      </x:c>
      <x:c r="S15" t="n">
        <x:f>'Monthly Data'!G15</x:f>
        <x:v>11</x:v>
      </x:c>
      <x:c r="T15" t="n">
        <x:f>'Monthly Data'!H15*15</x:f>
        <x:v>11.1</x:v>
      </x:c>
      <x:c r="U15" t="n">
        <x:f>'Monthly Data'!I15*15</x:f>
        <x:v>10.95</x:v>
      </x:c>
    </x:row>
    <x:row r="16">
      <x:c r="A16" s="199"/>
      <x:c r="B16" s="199"/>
      <x:c r="C16" s="199"/>
      <x:c r="D16" s="199"/>
      <x:c r="E16" s="199"/>
      <x:c r="F16" s="199"/>
      <x:c r="G16" s="199"/>
      <x:c r="H16" s="199"/>
      <x:c r="I16" s="199"/>
      <x:c r="J16" s="199"/>
      <x:c r="K16" s="199"/>
      <x:c r="L16" s="199"/>
      <x:c r="M16" s="199"/>
      <x:c r="N16" s="199"/>
      <x:c r="O16" s="199"/>
      <x:c r="P16" s="199"/>
      <x:c r="R16" t="str">
        <x:f>TEXT('Monthly Data'!A16,"mmm yy")</x:f>
        <x:v>Mar 26</x:v>
      </x:c>
      <x:c r="S16" t="n">
        <x:f>'Monthly Data'!G16</x:f>
        <x:v>11.8</x:v>
      </x:c>
      <x:c r="T16" t="n">
        <x:f>'Monthly Data'!H16*15</x:f>
        <x:v>11.4</x:v>
      </x:c>
      <x:c r="U16" t="n">
        <x:f>'Monthly Data'!I16*15</x:f>
        <x:v>11.25</x:v>
      </x:c>
    </x:row>
    <x:row r="17">
      <x:c r="A17" s="199"/>
      <x:c r="B17" s="199"/>
      <x:c r="C17" s="199"/>
      <x:c r="D17" s="199"/>
      <x:c r="E17" s="199"/>
      <x:c r="F17" s="199"/>
      <x:c r="G17" s="199"/>
      <x:c r="H17" s="199"/>
      <x:c r="I17" s="199"/>
      <x:c r="J17" s="199"/>
      <x:c r="K17" s="199"/>
      <x:c r="L17" s="199"/>
      <x:c r="M17" s="199"/>
      <x:c r="N17" s="199"/>
      <x:c r="O17" s="199"/>
      <x:c r="P17" s="199"/>
      <x:c r="R17" t="str">
        <x:f>TEXT('Monthly Data'!A17,"mmm yy")</x:f>
        <x:v>Apr 26</x:v>
      </x:c>
      <x:c r="S17" t="n">
        <x:f>'Monthly Data'!G17</x:f>
        <x:v>12.1</x:v>
      </x:c>
      <x:c r="T17" t="n">
        <x:f>'Monthly Data'!H17*15</x:f>
        <x:v>11.55</x:v>
      </x:c>
      <x:c r="U17" t="n">
        <x:f>'Monthly Data'!I17*15</x:f>
        <x:v>11.4</x:v>
      </x:c>
    </x:row>
    <x:row r="18">
      <x:c r="A18" s="199"/>
      <x:c r="B18" s="199"/>
      <x:c r="C18" s="199"/>
      <x:c r="D18" s="199"/>
      <x:c r="E18" s="199"/>
      <x:c r="F18" s="199"/>
      <x:c r="G18" s="199"/>
      <x:c r="H18" s="199"/>
      <x:c r="I18" s="199"/>
      <x:c r="J18" s="199"/>
      <x:c r="K18" s="199"/>
      <x:c r="L18" s="199"/>
      <x:c r="M18" s="199"/>
      <x:c r="N18" s="199"/>
      <x:c r="O18" s="199"/>
      <x:c r="P18" s="199"/>
      <x:c r="R18" t="str">
        <x:f>TEXT('Monthly Data'!A18,"mmm yy")</x:f>
        <x:v>May 26</x:v>
      </x:c>
      <x:c r="S18" t="n">
        <x:f>'Monthly Data'!G18</x:f>
        <x:v>12.4</x:v>
      </x:c>
      <x:c r="T18" t="n">
        <x:f>'Monthly Data'!H18*15</x:f>
        <x:v>11.700000000000001</x:v>
      </x:c>
      <x:c r="U18" t="n">
        <x:f>'Monthly Data'!I18*15</x:f>
        <x:v>11.700000000000001</x:v>
      </x:c>
    </x:row>
    <x:row r="19">
      <x:c r="A19" s="199"/>
      <x:c r="B19" s="199"/>
      <x:c r="C19" s="199"/>
      <x:c r="D19" s="199"/>
      <x:c r="E19" s="199"/>
      <x:c r="F19" s="199"/>
      <x:c r="G19" s="199"/>
      <x:c r="H19" s="199"/>
      <x:c r="I19" s="199"/>
      <x:c r="J19" s="199"/>
      <x:c r="K19" s="199"/>
      <x:c r="L19" s="199"/>
      <x:c r="M19" s="199"/>
      <x:c r="N19" s="199"/>
      <x:c r="O19" s="199"/>
      <x:c r="P19" s="199"/>
      <x:c r="R19" t="str">
        <x:f>TEXT('Monthly Data'!A19,"mmm yy")</x:f>
        <x:v>Jun 26</x:v>
      </x:c>
      <x:c r="S19" t="n">
        <x:f>'Monthly Data'!G19</x:f>
        <x:v>12.8</x:v>
      </x:c>
      <x:c r="T19" t="n">
        <x:f>'Monthly Data'!H19*15</x:f>
        <x:v>11.850000000000001</x:v>
      </x:c>
      <x:c r="U19" t="n">
        <x:f>'Monthly Data'!I19*15</x:f>
        <x:v>11.850000000000001</x:v>
      </x:c>
    </x:row>
    <x:row r="20">
      <x:c r="A20" s="199"/>
      <x:c r="B20" s="199"/>
      <x:c r="C20" s="199"/>
      <x:c r="D20" s="199"/>
      <x:c r="E20" s="199"/>
      <x:c r="F20" s="199"/>
      <x:c r="G20" s="199"/>
      <x:c r="H20" s="199"/>
      <x:c r="I20" s="199"/>
      <x:c r="J20" s="199"/>
      <x:c r="K20" s="199"/>
      <x:c r="L20" s="199"/>
      <x:c r="M20" s="199"/>
      <x:c r="N20" s="199"/>
      <x:c r="O20" s="199"/>
      <x:c r="P20" s="199"/>
      <x:c r="R20" t="str">
        <x:f>TEXT('Monthly Data'!A20,"mmm yy")</x:f>
        <x:v>Jul 26</x:v>
      </x:c>
      <x:c r="S20" t="n">
        <x:f>'Monthly Data'!G20</x:f>
        <x:v>13.2</x:v>
      </x:c>
      <x:c r="T20" t="n">
        <x:f>'Monthly Data'!H20*15</x:f>
        <x:v>12</x:v>
      </x:c>
      <x:c r="U20" t="n">
        <x:f>'Monthly Data'!I20*15</x:f>
        <x:v>12.15</x:v>
      </x:c>
    </x:row>
    <x:row r="21">
      <x:c r="A21" s="199"/>
      <x:c r="B21" s="199"/>
      <x:c r="C21" s="199"/>
      <x:c r="D21" s="199"/>
      <x:c r="E21" s="199"/>
      <x:c r="F21" s="199"/>
      <x:c r="G21" s="199"/>
      <x:c r="H21" s="199"/>
      <x:c r="I21" s="199"/>
      <x:c r="J21" s="199"/>
      <x:c r="K21" s="199"/>
      <x:c r="L21" s="199"/>
      <x:c r="M21" s="199"/>
      <x:c r="N21" s="199"/>
      <x:c r="O21" s="199"/>
      <x:c r="P21" s="199"/>
      <x:c r="R21" t="str">
        <x:f>TEXT('Monthly Data'!A21,"mmm yy")</x:f>
        <x:v>Aug 26</x:v>
      </x:c>
      <x:c r="S21" t="n">
        <x:f>'Monthly Data'!G21</x:f>
        <x:v>13.8</x:v>
      </x:c>
      <x:c r="T21" t="n">
        <x:f>'Monthly Data'!H21*15</x:f>
        <x:v>12.15</x:v>
      </x:c>
      <x:c r="U21" t="n">
        <x:f>'Monthly Data'!I21*15</x:f>
        <x:v>12.299999999999999</x:v>
      </x:c>
    </x:row>
    <x:row r="22">
      <x:c r="A22" s="199"/>
      <x:c r="B22" s="199"/>
      <x:c r="C22" s="199"/>
      <x:c r="D22" s="199"/>
      <x:c r="E22" s="199"/>
      <x:c r="F22" s="199"/>
      <x:c r="G22" s="199"/>
      <x:c r="H22" s="199"/>
      <x:c r="I22" s="199"/>
      <x:c r="J22" s="199"/>
      <x:c r="K22" s="199"/>
      <x:c r="L22" s="199"/>
      <x:c r="M22" s="199"/>
      <x:c r="N22" s="199"/>
      <x:c r="O22" s="199"/>
      <x:c r="P22" s="199"/>
      <x:c r="R22" t="str">
        <x:f>TEXT('Monthly Data'!A22,"mmm yy")</x:f>
        <x:v>Sep 26</x:v>
      </x:c>
      <x:c r="S22" t="n">
        <x:f>'Monthly Data'!G22</x:f>
        <x:v>14.076</x:v>
      </x:c>
      <x:c r="T22" t="n">
        <x:f>'Monthly Data'!H22*15</x:f>
        <x:v>12.271500000000001</x:v>
      </x:c>
      <x:c r="U22" t="n">
        <x:f>'Monthly Data'!I22*15</x:f>
        <x:v>12.484499999999997</x:v>
      </x:c>
    </x:row>
    <x:row r="23">
      <x:c r="A23" s="199"/>
      <x:c r="B23" s="199"/>
      <x:c r="C23" s="199"/>
      <x:c r="D23" s="199"/>
      <x:c r="E23" s="199"/>
      <x:c r="F23" s="199"/>
      <x:c r="G23" s="199"/>
      <x:c r="H23" s="199"/>
      <x:c r="I23" s="199"/>
      <x:c r="J23" s="199"/>
      <x:c r="K23" s="199"/>
      <x:c r="L23" s="199"/>
      <x:c r="M23" s="199"/>
      <x:c r="N23" s="199"/>
      <x:c r="O23" s="199"/>
      <x:c r="P23" s="199"/>
      <x:c r="R23" t="str">
        <x:f>TEXT('Monthly Data'!A23,"mmm yy")</x:f>
        <x:v>Oct 26</x:v>
      </x:c>
      <x:c r="S23" t="n">
        <x:f>'Monthly Data'!G23</x:f>
        <x:v>14.357520000000001</x:v>
      </x:c>
      <x:c r="T23" t="n">
        <x:f>'Monthly Data'!H23*15</x:f>
        <x:v>12.394215</x:v>
      </x:c>
      <x:c r="U23" t="n">
        <x:f>'Monthly Data'!I23*15</x:f>
        <x:v>12.671767499999996</x:v>
      </x:c>
    </x:row>
    <x:row r="24">
      <x:c r="A24" s="199"/>
      <x:c r="B24" s="199"/>
      <x:c r="C24" s="199"/>
      <x:c r="D24" s="199"/>
      <x:c r="E24" s="199"/>
      <x:c r="F24" s="199"/>
      <x:c r="G24" s="199"/>
      <x:c r="H24" s="199"/>
      <x:c r="I24" s="199"/>
      <x:c r="J24" s="199"/>
      <x:c r="K24" s="199"/>
      <x:c r="L24" s="199"/>
      <x:c r="M24" s="199"/>
      <x:c r="N24" s="199"/>
      <x:c r="O24" s="199"/>
      <x:c r="P24" s="199"/>
      <x:c r="R24" t="str">
        <x:f>TEXT('Monthly Data'!A24,"mmm yy")</x:f>
        <x:v>Nov 26</x:v>
      </x:c>
      <x:c r="S24" t="n">
        <x:f>'Monthly Data'!G24</x:f>
        <x:v>14.6446704</x:v>
      </x:c>
      <x:c r="T24" t="n">
        <x:f>'Monthly Data'!H24*15</x:f>
        <x:v>12.51815715</x:v>
      </x:c>
      <x:c r="U24" t="n">
        <x:f>'Monthly Data'!I24*15</x:f>
        <x:v>12.861844012499994</x:v>
      </x:c>
    </x:row>
    <x:row r="25">
      <x:c r="A25" s="199"/>
      <x:c r="B25" s="199"/>
      <x:c r="C25" s="199"/>
      <x:c r="D25" s="199"/>
      <x:c r="E25" s="199"/>
      <x:c r="F25" s="199"/>
      <x:c r="G25" s="199"/>
      <x:c r="H25" s="199"/>
      <x:c r="I25" s="199"/>
      <x:c r="J25" s="199"/>
      <x:c r="K25" s="199"/>
      <x:c r="L25" s="199"/>
      <x:c r="M25" s="199"/>
      <x:c r="N25" s="199"/>
      <x:c r="O25" s="199"/>
      <x:c r="P25" s="199"/>
      <x:c r="R25" t="str">
        <x:f>TEXT('Monthly Data'!A25,"mmm yy")</x:f>
        <x:v>Dec 26</x:v>
      </x:c>
      <x:c r="S25" t="n">
        <x:f>'Monthly Data'!G25</x:f>
        <x:v>14.937563808</x:v>
      </x:c>
      <x:c r="T25" t="n">
        <x:f>'Monthly Data'!H25*15</x:f>
        <x:v>12.6433387215</x:v>
      </x:c>
      <x:c r="U25" t="n">
        <x:f>'Monthly Data'!I25*15</x:f>
        <x:v>13.054771672687492</x:v>
      </x:c>
    </x:row>
    <x:row r="26">
      <x:c r="A26" s="199"/>
      <x:c r="B26" s="199"/>
      <x:c r="C26" s="199"/>
      <x:c r="D26" s="199"/>
      <x:c r="E26" s="199"/>
      <x:c r="F26" s="199"/>
      <x:c r="G26" s="199"/>
      <x:c r="H26" s="199"/>
      <x:c r="I26" s="199"/>
      <x:c r="J26" s="199"/>
      <x:c r="K26" s="199"/>
      <x:c r="L26" s="199"/>
      <x:c r="M26" s="199"/>
      <x:c r="N26" s="199"/>
      <x:c r="O26" s="199"/>
      <x:c r="P26" s="199"/>
      <x:c r="R26" t="str">
        <x:f>TEXT('Monthly Data'!A26,"mmm yy")</x:f>
        <x:v>Jan 27</x:v>
      </x:c>
      <x:c r="S26" t="n">
        <x:f>'Monthly Data'!G26</x:f>
        <x:v>15.236315084160001</x:v>
      </x:c>
      <x:c r="T26" t="n">
        <x:f>'Monthly Data'!H26*15</x:f>
        <x:v>12.769772108715</x:v>
      </x:c>
      <x:c r="U26" t="n">
        <x:f>'Monthly Data'!I26*15</x:f>
        <x:v>13.250593247777804</x:v>
      </x:c>
    </x:row>
    <x:row r="27">
      <x:c r="A27" s="199"/>
      <x:c r="B27" s="199"/>
      <x:c r="C27" s="199"/>
      <x:c r="D27" s="199"/>
      <x:c r="E27" s="199"/>
      <x:c r="F27" s="199"/>
      <x:c r="G27" s="199"/>
      <x:c r="H27" s="199"/>
      <x:c r="I27" s="199"/>
      <x:c r="J27" s="199"/>
      <x:c r="K27" s="199"/>
      <x:c r="L27" s="199"/>
      <x:c r="M27" s="199"/>
      <x:c r="N27" s="199"/>
      <x:c r="O27" s="199"/>
      <x:c r="P27" s="199"/>
      <x:c r="R27" t="str">
        <x:f>TEXT('Monthly Data'!A27,"mmm yy")</x:f>
        <x:v>Feb 27</x:v>
      </x:c>
      <x:c r="S27" t="n">
        <x:f>'Monthly Data'!G27</x:f>
        <x:v>15.5410413858432</x:v>
      </x:c>
      <x:c r="T27" t="n">
        <x:f>'Monthly Data'!H27*15</x:f>
        <x:v>12.89746982980215</x:v>
      </x:c>
      <x:c r="U27" t="n">
        <x:f>'Monthly Data'!I27*15</x:f>
        <x:v>13.44935214649447</x:v>
      </x:c>
    </x:row>
    <x:row r="28">
      <x:c r="A28" s="199"/>
      <x:c r="B28" s="199"/>
      <x:c r="C28" s="199"/>
      <x:c r="D28" s="199"/>
      <x:c r="E28" s="199"/>
      <x:c r="F28" s="199"/>
      <x:c r="G28" s="199"/>
      <x:c r="H28" s="199"/>
      <x:c r="I28" s="199"/>
      <x:c r="J28" s="199"/>
      <x:c r="K28" s="199"/>
      <x:c r="L28" s="199"/>
      <x:c r="M28" s="199"/>
      <x:c r="N28" s="199"/>
      <x:c r="O28" s="199"/>
      <x:c r="P28" s="199"/>
    </x:row>
    <x:row r="29">
      <x:c r="A29" s="260" t="str">
        <x:v>Forecast summary · Feb 2027</x:v>
      </x:c>
      <x:c r="B29" s="260"/>
      <x:c r="C29" s="260"/>
      <x:c r="D29" s="260"/>
      <x:c r="E29" s="260"/>
      <x:c r="F29" s="260"/>
      <x:c r="G29" s="199"/>
      <x:c r="H29" s="260" t="str">
        <x:v>Model performance</x:v>
      </x:c>
      <x:c r="I29" s="260"/>
      <x:c r="J29" s="260"/>
      <x:c r="K29" s="260"/>
      <x:c r="L29" s="260"/>
      <x:c r="M29" s="199"/>
      <x:c r="N29" s="260" t="str">
        <x:v>Top insights</x:v>
      </x:c>
      <x:c r="O29" s="260"/>
      <x:c r="P29" s="260"/>
    </x:row>
    <x:row r="30" ht="34" customHeight="1">
      <x:c r="A30" s="261" t="str">
        <x:v>Metric</x:v>
      </x:c>
      <x:c r="B30" s="262" t="str">
        <x:v>ARIMA</x:v>
      </x:c>
      <x:c r="C30" s="262" t="str">
        <x:v>Prophet</x:v>
      </x:c>
      <x:c r="D30" s="262" t="str">
        <x:v>Linear</x:v>
      </x:c>
      <x:c r="E30" s="262" t="str">
        <x:v>Ensemble</x:v>
      </x:c>
      <x:c r="F30" s="263" t="str">
        <x:v>Selected</x:v>
      </x:c>
      <x:c r="G30" s="199"/>
      <x:c r="H30" s="261" t="str">
        <x:f>'Model Results'!A12</x:f>
        <x:v>Model</x:v>
      </x:c>
      <x:c r="I30" s="262" t="str">
        <x:f>'Model Results'!B12</x:f>
        <x:v>MAE</x:v>
      </x:c>
      <x:c r="J30" s="262" t="str">
        <x:f>'Model Results'!C12</x:f>
        <x:v>RMSE</x:v>
      </x:c>
      <x:c r="K30" s="262" t="str">
        <x:f>'Model Results'!D12</x:f>
        <x:v>MAPE</x:v>
      </x:c>
      <x:c r="L30" s="263" t="str">
        <x:f>'Model Results'!E12</x:f>
        <x:v>Rank</x:v>
      </x:c>
      <x:c r="M30" s="199"/>
      <x:c r="N30" s="264" t="str">
        <x:v>↑ Expenses continue rising; use the ensemble forecast for the monthly cap.</x:v>
      </x:c>
      <x:c r="O30" s="265"/>
      <x:c r="P30" s="266"/>
    </x:row>
    <x:row r="31" ht="34" customHeight="1">
      <x:c r="A31" s="267" t="str">
        <x:v>Expenses</x:v>
      </x:c>
      <x:c r="B31" s="268" t="str">
        <x:f>"₹ "&amp;TEXT('Model Results'!B9,"#,##0")</x:f>
        <x:v>₹ 72,887</x:v>
      </x:c>
      <x:c r="C31" s="268" t="str">
        <x:f>"₹ "&amp;TEXT('Model Results'!C9,"#,##0")</x:f>
        <x:v>₹ 68,800</x:v>
      </x:c>
      <x:c r="D31" s="268" t="str">
        <x:f>"₹ "&amp;TEXT('Model Results'!D9,"#,##0")</x:f>
        <x:v>₹ 69,700</x:v>
      </x:c>
      <x:c r="E31" s="268" t="str">
        <x:f>"₹ "&amp;TEXT('Model Results'!E9,"#,##0")</x:f>
        <x:v>₹ 70,462</x:v>
      </x:c>
      <x:c r="F31" s="269" t="str">
        <x:v>Ensemble</x:v>
      </x:c>
      <x:c r="G31" s="199"/>
      <x:c r="H31" s="267" t="str">
        <x:f>'Model Results'!A13</x:f>
        <x:v>ARIMA</x:v>
      </x:c>
      <x:c r="I31" s="268" t="n">
        <x:f>'Model Results'!B13</x:f>
        <x:v>1180</x:v>
      </x:c>
      <x:c r="J31" s="268" t="n">
        <x:f>'Model Results'!C13</x:f>
        <x:v>1490</x:v>
      </x:c>
      <x:c r="K31" s="270" t="n">
        <x:f>'Model Results'!D13</x:f>
        <x:v>0.021</x:v>
      </x:c>
      <x:c r="L31" s="269" t="n">
        <x:f>'Model Results'!E13</x:f>
        <x:v>1</x:v>
      </x:c>
      <x:c r="M31" s="199"/>
      <x:c r="N31" s="271" t="str">
        <x:v>↑ Study hours and focus remain on an improving trend.</x:v>
      </x:c>
      <x:c r="O31" s="272"/>
      <x:c r="P31" s="273"/>
    </x:row>
    <x:row r="32" ht="34" customHeight="1">
      <x:c r="A32" s="267" t="str">
        <x:v>Savings</x:v>
      </x:c>
      <x:c r="B32" s="268" t="str">
        <x:f>"₹ "&amp;TEXT('Model Results'!G9,"#,##0")</x:f>
        <x:v>₹ 19,847</x:v>
      </x:c>
      <x:c r="C32" s="268" t="str">
        <x:f>"₹ "&amp;TEXT('Model Results'!H9,"#,##0")</x:f>
        <x:v>₹ 23,934</x:v>
      </x:c>
      <x:c r="D32" s="268" t="str">
        <x:f>"₹ "&amp;TEXT('Model Results'!I9,"#,##0")</x:f>
        <x:v>₹ 23,034</x:v>
      </x:c>
      <x:c r="E32" s="268" t="str">
        <x:f>"₹ "&amp;TEXT('Model Results'!J9,"#,##0")</x:f>
        <x:v>₹ 22,272</x:v>
      </x:c>
      <x:c r="F32" s="269" t="str">
        <x:v>Ensemble</x:v>
      </x:c>
      <x:c r="G32" s="199"/>
      <x:c r="H32" s="267" t="str">
        <x:f>'Model Results'!A14</x:f>
        <x:v>Prophet</x:v>
      </x:c>
      <x:c r="I32" s="268" t="n">
        <x:f>'Model Results'!B14</x:f>
        <x:v>1475</x:v>
      </x:c>
      <x:c r="J32" s="268" t="n">
        <x:f>'Model Results'!C14</x:f>
        <x:v>1820</x:v>
      </x:c>
      <x:c r="K32" s="270" t="n">
        <x:f>'Model Results'!D14</x:f>
        <x:v>0.026</x:v>
      </x:c>
      <x:c r="L32" s="269" t="n">
        <x:f>'Model Results'!E14</x:f>
        <x:v>2</x:v>
      </x:c>
      <x:c r="M32" s="199"/>
      <x:c r="N32" s="271" t="str">
        <x:v>✓ ARIMA has the lowest historical error across the three models.</x:v>
      </x:c>
      <x:c r="O32" s="272"/>
      <x:c r="P32" s="273"/>
    </x:row>
    <x:row r="33" ht="34" customHeight="1">
      <x:c r="A33" s="267" t="str">
        <x:v>Study hours</x:v>
      </x:c>
      <x:c r="B33" s="274"/>
      <x:c r="C33" s="274"/>
      <x:c r="D33" s="274"/>
      <x:c r="E33" s="275" t="n">
        <x:f>'Model Results'!K9</x:f>
        <x:v>15.5410413858432</x:v>
      </x:c>
      <x:c r="F33" s="269" t="str">
        <x:v>Trend</x:v>
      </x:c>
      <x:c r="G33" s="199"/>
      <x:c r="H33" s="276" t="str">
        <x:f>'Model Results'!A15</x:f>
        <x:v>Linear Regression</x:v>
      </x:c>
      <x:c r="I33" s="277" t="n">
        <x:f>'Model Results'!B15</x:f>
        <x:v>2140</x:v>
      </x:c>
      <x:c r="J33" s="277" t="n">
        <x:f>'Model Results'!C15</x:f>
        <x:v>2630</x:v>
      </x:c>
      <x:c r="K33" s="278" t="n">
        <x:f>'Model Results'!D15</x:f>
        <x:v>0.038</x:v>
      </x:c>
      <x:c r="L33" s="279" t="n">
        <x:f>'Model Results'!E15</x:f>
        <x:v>3</x:v>
      </x:c>
      <x:c r="M33" s="199"/>
      <x:c r="N33" s="271" t="str">
        <x:v>! Savings growth is slower than expense growth; review discretionary spend.</x:v>
      </x:c>
      <x:c r="O33" s="272"/>
      <x:c r="P33" s="273"/>
    </x:row>
    <x:row r="34" ht="34" customHeight="1">
      <x:c r="A34" s="267" t="str">
        <x:v>Focus score</x:v>
      </x:c>
      <x:c r="B34" s="274"/>
      <x:c r="C34" s="274"/>
      <x:c r="D34" s="274"/>
      <x:c r="E34" s="280" t="n">
        <x:f>'Model Results'!L9</x:f>
        <x:v>0.85983132198681</x:v>
      </x:c>
      <x:c r="F34" s="269" t="str">
        <x:v>Trend</x:v>
      </x:c>
      <x:c r="G34" s="199"/>
      <x:c r="H34" s="199"/>
      <x:c r="I34" s="199"/>
      <x:c r="J34" s="199"/>
      <x:c r="K34" s="199"/>
      <x:c r="L34" s="199"/>
      <x:c r="M34" s="199"/>
      <x:c r="N34" s="271" t="str">
        <x:v>✓ Habit completion is projected above 90% by the end of the horizon.</x:v>
      </x:c>
      <x:c r="O34" s="272"/>
      <x:c r="P34" s="273"/>
    </x:row>
    <x:row r="35" ht="34" customHeight="1">
      <x:c r="A35" s="276" t="str">
        <x:v>Habit completion</x:v>
      </x:c>
      <x:c r="B35" s="281"/>
      <x:c r="C35" s="281"/>
      <x:c r="D35" s="281"/>
      <x:c r="E35" s="282" t="n">
        <x:f>'Model Results'!M9</x:f>
        <x:v>0.8966234764329646</x:v>
      </x:c>
      <x:c r="F35" s="279" t="str">
        <x:v>Trend</x:v>
      </x:c>
      <x:c r="G35" s="199"/>
      <x:c r="H35" s="199"/>
      <x:c r="I35" s="199"/>
      <x:c r="J35" s="199"/>
      <x:c r="K35" s="199"/>
      <x:c r="L35" s="199"/>
      <x:c r="M35" s="199"/>
      <x:c r="N35" s="283" t="str">
        <x:v>→ Goal probability combines savings, focus, and routine consistency.</x:v>
      </x:c>
      <x:c r="O35" s="284"/>
      <x:c r="P35" s="285"/>
    </x:row>
  </x:sheetData>
  <x:mergeCells>
    <x:mergeCell ref="A1:P2"/>
    <x:mergeCell ref="A3:P3"/>
    <x:mergeCell ref="A5:C5"/>
    <x:mergeCell ref="A7:C7"/>
    <x:mergeCell ref="D5:F5"/>
    <x:mergeCell ref="D7:F7"/>
    <x:mergeCell ref="G5:I5"/>
    <x:mergeCell ref="G7:I7"/>
    <x:mergeCell ref="J5:L5"/>
    <x:mergeCell ref="J7:L7"/>
    <x:mergeCell ref="M5:P5"/>
    <x:mergeCell ref="M7:P7"/>
    <x:mergeCell ref="A29:F29"/>
    <x:mergeCell ref="H29:L29"/>
    <x:mergeCell ref="N29:P29"/>
    <x:mergeCell ref="N30:P30"/>
    <x:mergeCell ref="N31:P31"/>
    <x:mergeCell ref="N32:P32"/>
    <x:mergeCell ref="N33:P33"/>
    <x:mergeCell ref="N34:P34"/>
    <x:mergeCell ref="N35:P35"/>
  </x:mergeCells>
  <x:pageMargins left="0.7" right="0.7" top="0.75" bottom="0.75" header="0.3" footer="0.3"/>
  <x:drawing xmlns:r="http://schemas.openxmlformats.org/officeDocument/2006/relationships" r:id="Re6a709d7437942d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8.630000114440918" hidden="0" customWidth="1"/>
    <x:col min="4" max="4" width="10" hidden="0" customWidth="1"/>
    <x:col min="5" max="5" width="11.880000114440918" hidden="0" customWidth="1"/>
    <x:col min="6" max="6" width="13.130000114440918" hidden="0" customWidth="1"/>
    <x:col min="7" max="7" width="9.75" hidden="0" customWidth="1"/>
    <x:col min="8" max="8" width="9.380000114440918" hidden="0" customWidth="1"/>
    <x:col min="9" max="9" width="14" hidden="0" customWidth="1"/>
    <x:col min="10" max="10" width="11" hidden="0" customWidth="1"/>
  </x:cols>
  <x:sheetData>
    <x:row r="1" ht="30" customHeight="1">
      <x:c r="A1" s="2" t="str">
        <x:v>Personal performance forecasting dataset · Mar 2025–Feb 2027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ht="30" customHeight="1">
      <x:c r="A3" s="27" t="str">
        <x:v>Month</x:v>
      </x:c>
      <x:c r="B3" s="28" t="str">
        <x:v>Record Type</x:v>
      </x:c>
      <x:c r="C3" s="28" t="str">
        <x:v>Income (₹)</x:v>
      </x:c>
      <x:c r="D3" s="28" t="str">
        <x:v>Expenses (₹)</x:v>
      </x:c>
      <x:c r="E3" s="28" t="str">
        <x:v>Net Savings (₹)</x:v>
      </x:c>
      <x:c r="F3" s="28" t="str">
        <x:v>Debt Balance (₹)</x:v>
      </x:c>
      <x:c r="G3" s="28" t="str">
        <x:v>Study Hours</x:v>
      </x:c>
      <x:c r="H3" s="28" t="str">
        <x:v>Focus Score</x:v>
      </x:c>
      <x:c r="I3" s="28" t="str">
        <x:v>Habit Completion</x:v>
      </x:c>
      <x:c r="J3" s="29" t="str">
        <x:v>Goal Progress</x:v>
      </x:c>
    </x:row>
    <x:row r="4">
      <x:c r="A4" s="30" t="n">
        <x:v>45717</x:v>
      </x:c>
      <x:c r="B4" s="9" t="str">
        <x:v>Actual</x:v>
      </x:c>
      <x:c r="C4" s="16" t="n">
        <x:v>78000</x:v>
      </x:c>
      <x:c r="D4" s="16" t="n">
        <x:v>49200</x:v>
      </x:c>
      <x:c r="E4" s="16" t="n">
        <x:f>C4-D4</x:f>
        <x:v>28800</x:v>
      </x:c>
      <x:c r="F4" s="16" t="n">
        <x:v>220000</x:v>
      </x:c>
      <x:c r="G4" s="31" t="n">
        <x:v>8.2</x:v>
      </x:c>
      <x:c r="H4" s="32" t="n">
        <x:v>0.62</x:v>
      </x:c>
      <x:c r="I4" s="32" t="n">
        <x:v>0.58</x:v>
      </x:c>
      <x:c r="J4" s="33" t="n">
        <x:v>0.44</x:v>
      </x:c>
    </x:row>
    <x:row r="5">
      <x:c r="A5" s="30" t="n">
        <x:v>45748</x:v>
      </x:c>
      <x:c r="B5" s="9" t="str">
        <x:v>Actual</x:v>
      </x:c>
      <x:c r="C5" s="16" t="n">
        <x:v>78000</x:v>
      </x:c>
      <x:c r="D5" s="16" t="n">
        <x:v>50800</x:v>
      </x:c>
      <x:c r="E5" s="16" t="n">
        <x:f>C5-D5</x:f>
        <x:v>27200</x:v>
      </x:c>
      <x:c r="F5" s="16" t="n">
        <x:v>216000</x:v>
      </x:c>
      <x:c r="G5" s="31" t="n">
        <x:v>8.8</x:v>
      </x:c>
      <x:c r="H5" s="32" t="n">
        <x:v>0.64</x:v>
      </x:c>
      <x:c r="I5" s="32" t="n">
        <x:v>0.6</x:v>
      </x:c>
      <x:c r="J5" s="33" t="n">
        <x:v>0.46</x:v>
      </x:c>
    </x:row>
    <x:row r="6">
      <x:c r="A6" s="30" t="n">
        <x:v>45778</x:v>
      </x:c>
      <x:c r="B6" s="9" t="str">
        <x:v>Actual</x:v>
      </x:c>
      <x:c r="C6" s="16" t="n">
        <x:v>80000</x:v>
      </x:c>
      <x:c r="D6" s="16" t="n">
        <x:v>50100</x:v>
      </x:c>
      <x:c r="E6" s="16" t="n">
        <x:f>C6-D6</x:f>
        <x:v>29900</x:v>
      </x:c>
      <x:c r="F6" s="16" t="n">
        <x:v>211500</x:v>
      </x:c>
      <x:c r="G6" s="31" t="n">
        <x:v>8.5</x:v>
      </x:c>
      <x:c r="H6" s="32" t="n">
        <x:v>0.63</x:v>
      </x:c>
      <x:c r="I6" s="32" t="n">
        <x:v>0.59</x:v>
      </x:c>
      <x:c r="J6" s="33" t="n">
        <x:v>0.45</x:v>
      </x:c>
    </x:row>
    <x:row r="7">
      <x:c r="A7" s="30" t="n">
        <x:v>45809</x:v>
      </x:c>
      <x:c r="B7" s="9" t="str">
        <x:v>Actual</x:v>
      </x:c>
      <x:c r="C7" s="16" t="n">
        <x:v>80000</x:v>
      </x:c>
      <x:c r="D7" s="16" t="n">
        <x:v>52500</x:v>
      </x:c>
      <x:c r="E7" s="16" t="n">
        <x:f>C7-D7</x:f>
        <x:v>27500</x:v>
      </x:c>
      <x:c r="F7" s="16" t="n">
        <x:v>208000</x:v>
      </x:c>
      <x:c r="G7" s="31" t="n">
        <x:v>9.1</x:v>
      </x:c>
      <x:c r="H7" s="32" t="n">
        <x:v>0.66</x:v>
      </x:c>
      <x:c r="I7" s="32" t="n">
        <x:v>0.62</x:v>
      </x:c>
      <x:c r="J7" s="33" t="n">
        <x:v>0.49</x:v>
      </x:c>
    </x:row>
    <x:row r="8">
      <x:c r="A8" s="30" t="n">
        <x:v>45839</x:v>
      </x:c>
      <x:c r="B8" s="9" t="str">
        <x:v>Actual</x:v>
      </x:c>
      <x:c r="C8" s="16" t="n">
        <x:v>82000</x:v>
      </x:c>
      <x:c r="D8" s="16" t="n">
        <x:v>51700</x:v>
      </x:c>
      <x:c r="E8" s="16" t="n">
        <x:f>C8-D8</x:f>
        <x:v>30300</x:v>
      </x:c>
      <x:c r="F8" s="16" t="n">
        <x:v>203000</x:v>
      </x:c>
      <x:c r="G8" s="31" t="n">
        <x:v>9.4</x:v>
      </x:c>
      <x:c r="H8" s="32" t="n">
        <x:v>0.67</x:v>
      </x:c>
      <x:c r="I8" s="32" t="n">
        <x:v>0.63</x:v>
      </x:c>
      <x:c r="J8" s="33" t="n">
        <x:v>0.52</x:v>
      </x:c>
    </x:row>
    <x:row r="9">
      <x:c r="A9" s="30" t="n">
        <x:v>45870</x:v>
      </x:c>
      <x:c r="B9" s="9" t="str">
        <x:v>Actual</x:v>
      </x:c>
      <x:c r="C9" s="16" t="n">
        <x:v>82000</x:v>
      </x:c>
      <x:c r="D9" s="16" t="n">
        <x:v>54200</x:v>
      </x:c>
      <x:c r="E9" s="16" t="n">
        <x:f>C9-D9</x:f>
        <x:v>27800</x:v>
      </x:c>
      <x:c r="F9" s="16" t="n">
        <x:v>199500</x:v>
      </x:c>
      <x:c r="G9" s="31" t="n">
        <x:v>9.2</x:v>
      </x:c>
      <x:c r="H9" s="32" t="n">
        <x:v>0.68</x:v>
      </x:c>
      <x:c r="I9" s="32" t="n">
        <x:v>0.65</x:v>
      </x:c>
      <x:c r="J9" s="33" t="n">
        <x:v>0.54</x:v>
      </x:c>
    </x:row>
    <x:row r="10">
      <x:c r="A10" s="30" t="n">
        <x:v>45901</x:v>
      </x:c>
      <x:c r="B10" s="9" t="str">
        <x:v>Actual</x:v>
      </x:c>
      <x:c r="C10" s="16" t="n">
        <x:v>84000</x:v>
      </x:c>
      <x:c r="D10" s="16" t="n">
        <x:v>53800</x:v>
      </x:c>
      <x:c r="E10" s="16" t="n">
        <x:f>C10-D10</x:f>
        <x:v>30200</x:v>
      </x:c>
      <x:c r="F10" s="16" t="n">
        <x:v>195000</x:v>
      </x:c>
      <x:c r="G10" s="31" t="n">
        <x:v>10.1</x:v>
      </x:c>
      <x:c r="H10" s="32" t="n">
        <x:v>0.7</x:v>
      </x:c>
      <x:c r="I10" s="32" t="n">
        <x:v>0.66</x:v>
      </x:c>
      <x:c r="J10" s="33" t="n">
        <x:v>0.57</x:v>
      </x:c>
    </x:row>
    <x:row r="11">
      <x:c r="A11" s="30" t="n">
        <x:v>45931</x:v>
      </x:c>
      <x:c r="B11" s="9" t="str">
        <x:v>Actual</x:v>
      </x:c>
      <x:c r="C11" s="16" t="n">
        <x:v>84000</x:v>
      </x:c>
      <x:c r="D11" s="16" t="n">
        <x:v>55100</x:v>
      </x:c>
      <x:c r="E11" s="16" t="n">
        <x:f>C11-D11</x:f>
        <x:v>28900</x:v>
      </x:c>
      <x:c r="F11" s="16" t="n">
        <x:v>192000</x:v>
      </x:c>
      <x:c r="G11" s="31" t="n">
        <x:v>10.4</x:v>
      </x:c>
      <x:c r="H11" s="32" t="n">
        <x:v>0.71</x:v>
      </x:c>
      <x:c r="I11" s="32" t="n">
        <x:v>0.68</x:v>
      </x:c>
      <x:c r="J11" s="33" t="n">
        <x:v>0.59</x:v>
      </x:c>
    </x:row>
    <x:row r="12">
      <x:c r="A12" s="30" t="n">
        <x:v>45962</x:v>
      </x:c>
      <x:c r="B12" s="9" t="str">
        <x:v>Actual</x:v>
      </x:c>
      <x:c r="C12" s="16" t="n">
        <x:v>86000</x:v>
      </x:c>
      <x:c r="D12" s="16" t="n">
        <x:v>56300</x:v>
      </x:c>
      <x:c r="E12" s="16" t="n">
        <x:f>C12-D12</x:f>
        <x:v>29700</x:v>
      </x:c>
      <x:c r="F12" s="16" t="n">
        <x:v>188000</x:v>
      </x:c>
      <x:c r="G12" s="31" t="n">
        <x:v>10</x:v>
      </x:c>
      <x:c r="H12" s="32" t="n">
        <x:v>0.72</x:v>
      </x:c>
      <x:c r="I12" s="32" t="n">
        <x:v>0.7</x:v>
      </x:c>
      <x:c r="J12" s="33" t="n">
        <x:v>0.61</x:v>
      </x:c>
    </x:row>
    <x:row r="13">
      <x:c r="A13" s="30" t="n">
        <x:v>45992</x:v>
      </x:c>
      <x:c r="B13" s="9" t="str">
        <x:v>Actual</x:v>
      </x:c>
      <x:c r="C13" s="16" t="n">
        <x:v>86000</x:v>
      </x:c>
      <x:c r="D13" s="16" t="n">
        <x:v>55700</x:v>
      </x:c>
      <x:c r="E13" s="16" t="n">
        <x:f>C13-D13</x:f>
        <x:v>30300</x:v>
      </x:c>
      <x:c r="F13" s="16" t="n">
        <x:v>185000</x:v>
      </x:c>
      <x:c r="G13" s="31" t="n">
        <x:v>10.8</x:v>
      </x:c>
      <x:c r="H13" s="32" t="n">
        <x:v>0.73</x:v>
      </x:c>
      <x:c r="I13" s="32" t="n">
        <x:v>0.69</x:v>
      </x:c>
      <x:c r="J13" s="33" t="n">
        <x:v>0.64</x:v>
      </x:c>
    </x:row>
    <x:row r="14">
      <x:c r="A14" s="30" t="n">
        <x:v>46023</x:v>
      </x:c>
      <x:c r="B14" s="9" t="str">
        <x:v>Actual</x:v>
      </x:c>
      <x:c r="C14" s="16" t="n">
        <x:v>87000</x:v>
      </x:c>
      <x:c r="D14" s="16" t="n">
        <x:v>57900</x:v>
      </x:c>
      <x:c r="E14" s="16" t="n">
        <x:f>C14-D14</x:f>
        <x:v>29100</x:v>
      </x:c>
      <x:c r="F14" s="16" t="n">
        <x:v>182500</x:v>
      </x:c>
      <x:c r="G14" s="31" t="n">
        <x:v>11.2</x:v>
      </x:c>
      <x:c r="H14" s="32" t="n">
        <x:v>0.75</x:v>
      </x:c>
      <x:c r="I14" s="32" t="n">
        <x:v>0.72</x:v>
      </x:c>
      <x:c r="J14" s="33" t="n">
        <x:v>0.66</x:v>
      </x:c>
    </x:row>
    <x:row r="15">
      <x:c r="A15" s="30" t="n">
        <x:v>46054</x:v>
      </x:c>
      <x:c r="B15" s="9" t="str">
        <x:v>Actual</x:v>
      </x:c>
      <x:c r="C15" s="16" t="n">
        <x:v>87000</x:v>
      </x:c>
      <x:c r="D15" s="16" t="n">
        <x:v>58800</x:v>
      </x:c>
      <x:c r="E15" s="16" t="n">
        <x:f>C15-D15</x:f>
        <x:v>28200</x:v>
      </x:c>
      <x:c r="F15" s="16" t="n">
        <x:v>179000</x:v>
      </x:c>
      <x:c r="G15" s="31" t="n">
        <x:v>11</x:v>
      </x:c>
      <x:c r="H15" s="32" t="n">
        <x:v>0.74</x:v>
      </x:c>
      <x:c r="I15" s="32" t="n">
        <x:v>0.73</x:v>
      </x:c>
      <x:c r="J15" s="33" t="n">
        <x:v>0.68</x:v>
      </x:c>
    </x:row>
    <x:row r="16">
      <x:c r="A16" s="30" t="n">
        <x:v>46082</x:v>
      </x:c>
      <x:c r="B16" s="9" t="str">
        <x:v>Actual</x:v>
      </x:c>
      <x:c r="C16" s="16" t="n">
        <x:v>88000</x:v>
      </x:c>
      <x:c r="D16" s="16" t="n">
        <x:v>59600</x:v>
      </x:c>
      <x:c r="E16" s="16" t="n">
        <x:f>C16-D16</x:f>
        <x:v>28400</x:v>
      </x:c>
      <x:c r="F16" s="16" t="n">
        <x:v>176500</x:v>
      </x:c>
      <x:c r="G16" s="31" t="n">
        <x:v>11.8</x:v>
      </x:c>
      <x:c r="H16" s="32" t="n">
        <x:v>0.76</x:v>
      </x:c>
      <x:c r="I16" s="32" t="n">
        <x:v>0.75</x:v>
      </x:c>
      <x:c r="J16" s="33" t="n">
        <x:v>0.7</x:v>
      </x:c>
    </x:row>
    <x:row r="17">
      <x:c r="A17" s="30" t="n">
        <x:v>46113</x:v>
      </x:c>
      <x:c r="B17" s="9" t="str">
        <x:v>Actual</x:v>
      </x:c>
      <x:c r="C17" s="16" t="n">
        <x:v>88000</x:v>
      </x:c>
      <x:c r="D17" s="16" t="n">
        <x:v>60400</x:v>
      </x:c>
      <x:c r="E17" s="16" t="n">
        <x:f>C17-D17</x:f>
        <x:v>27600</x:v>
      </x:c>
      <x:c r="F17" s="16" t="n">
        <x:v>174000</x:v>
      </x:c>
      <x:c r="G17" s="31" t="n">
        <x:v>12.1</x:v>
      </x:c>
      <x:c r="H17" s="32" t="n">
        <x:v>0.77</x:v>
      </x:c>
      <x:c r="I17" s="32" t="n">
        <x:v>0.76</x:v>
      </x:c>
      <x:c r="J17" s="33" t="n">
        <x:v>0.72</x:v>
      </x:c>
    </x:row>
    <x:row r="18">
      <x:c r="A18" s="30" t="n">
        <x:v>46143</x:v>
      </x:c>
      <x:c r="B18" s="9" t="str">
        <x:v>Actual</x:v>
      </x:c>
      <x:c r="C18" s="16" t="n">
        <x:v>89000</x:v>
      </x:c>
      <x:c r="D18" s="16" t="n">
        <x:v>61800</x:v>
      </x:c>
      <x:c r="E18" s="16" t="n">
        <x:f>C18-D18</x:f>
        <x:v>27200</x:v>
      </x:c>
      <x:c r="F18" s="16" t="n">
        <x:v>171000</x:v>
      </x:c>
      <x:c r="G18" s="31" t="n">
        <x:v>12.4</x:v>
      </x:c>
      <x:c r="H18" s="32" t="n">
        <x:v>0.78</x:v>
      </x:c>
      <x:c r="I18" s="32" t="n">
        <x:v>0.78</x:v>
      </x:c>
      <x:c r="J18" s="33" t="n">
        <x:v>0.74</x:v>
      </x:c>
    </x:row>
    <x:row r="19">
      <x:c r="A19" s="30" t="n">
        <x:v>46174</x:v>
      </x:c>
      <x:c r="B19" s="9" t="str">
        <x:v>Actual</x:v>
      </x:c>
      <x:c r="C19" s="16" t="n">
        <x:v>89000</x:v>
      </x:c>
      <x:c r="D19" s="16" t="n">
        <x:v>62500</x:v>
      </x:c>
      <x:c r="E19" s="16" t="n">
        <x:f>C19-D19</x:f>
        <x:v>26500</x:v>
      </x:c>
      <x:c r="F19" s="16" t="n">
        <x:v>168500</x:v>
      </x:c>
      <x:c r="G19" s="31" t="n">
        <x:v>12.8</x:v>
      </x:c>
      <x:c r="H19" s="32" t="n">
        <x:v>0.79</x:v>
      </x:c>
      <x:c r="I19" s="32" t="n">
        <x:v>0.79</x:v>
      </x:c>
      <x:c r="J19" s="33" t="n">
        <x:v>0.76</x:v>
      </x:c>
    </x:row>
    <x:row r="20">
      <x:c r="A20" s="30" t="n">
        <x:v>46204</x:v>
      </x:c>
      <x:c r="B20" s="9" t="str">
        <x:v>Actual</x:v>
      </x:c>
      <x:c r="C20" s="16" t="n">
        <x:v>90000</x:v>
      </x:c>
      <x:c r="D20" s="16" t="n">
        <x:v>64100</x:v>
      </x:c>
      <x:c r="E20" s="16" t="n">
        <x:f>C20-D20</x:f>
        <x:v>25900</x:v>
      </x:c>
      <x:c r="F20" s="16" t="n">
        <x:v>166000</x:v>
      </x:c>
      <x:c r="G20" s="31" t="n">
        <x:v>13.2</x:v>
      </x:c>
      <x:c r="H20" s="32" t="n">
        <x:v>0.8</x:v>
      </x:c>
      <x:c r="I20" s="32" t="n">
        <x:v>0.81</x:v>
      </x:c>
      <x:c r="J20" s="33" t="n">
        <x:v>0.78</x:v>
      </x:c>
    </x:row>
    <x:row r="21">
      <x:c r="A21" s="30" t="n">
        <x:v>46235</x:v>
      </x:c>
      <x:c r="B21" s="9" t="str">
        <x:v>Actual</x:v>
      </x:c>
      <x:c r="C21" s="16" t="n">
        <x:v>90000</x:v>
      </x:c>
      <x:c r="D21" s="16" t="n">
        <x:v>65200</x:v>
      </x:c>
      <x:c r="E21" s="16" t="n">
        <x:f>C21-D21</x:f>
        <x:v>24800</x:v>
      </x:c>
      <x:c r="F21" s="16" t="n">
        <x:v>164000</x:v>
      </x:c>
      <x:c r="G21" s="31" t="n">
        <x:v>13.8</x:v>
      </x:c>
      <x:c r="H21" s="32" t="n">
        <x:v>0.81</x:v>
      </x:c>
      <x:c r="I21" s="32" t="n">
        <x:v>0.82</x:v>
      </x:c>
      <x:c r="J21" s="33" t="n">
        <x:v>0.79</x:v>
      </x:c>
    </x:row>
    <x:row r="22">
      <x:c r="A22" s="34" t="n">
        <x:v>46266</x:v>
      </x:c>
      <x:c r="B22" s="35" t="str">
        <x:v>Forecast</x:v>
      </x:c>
      <x:c r="C22" s="36" t="n">
        <x:f>ROUND('Model Results'!F4,0)</x:f>
        <x:v>90450</x:v>
      </x:c>
      <x:c r="D22" s="36" t="n">
        <x:f>ROUND('Model Results'!E4,0)</x:f>
        <x:v>66193</x:v>
      </x:c>
      <x:c r="E22" s="36" t="n">
        <x:f>ROUND(C22-D22,0)</x:f>
        <x:v>24257</x:v>
      </x:c>
      <x:c r="F22" s="36" t="n">
        <x:f>ROUND(MAX(0,F21-MAX(0,E22)*0.25),0)</x:f>
        <x:v>157936</x:v>
      </x:c>
      <x:c r="G22" s="37" t="n">
        <x:f>'Model Results'!K4</x:f>
        <x:v>14.076</x:v>
      </x:c>
      <x:c r="H22" s="38" t="n">
        <x:f>'Model Results'!L4</x:f>
        <x:v>0.8181</x:v>
      </x:c>
      <x:c r="I22" s="38" t="n">
        <x:f>'Model Results'!M4</x:f>
        <x:v>0.8322999999999998</x:v>
      </x:c>
      <x:c r="J22" s="39" t="n">
        <x:f>MIN(1,J21+0.03)</x:f>
        <x:v>0.8200000000000001</x:v>
      </x:c>
    </x:row>
    <x:row r="23">
      <x:c r="A23" s="34" t="n">
        <x:v>46296</x:v>
      </x:c>
      <x:c r="B23" s="35" t="str">
        <x:v>Forecast</x:v>
      </x:c>
      <x:c r="C23" s="36" t="n">
        <x:f>ROUND('Model Results'!F5,0)</x:f>
        <x:v>90902</x:v>
      </x:c>
      <x:c r="D23" s="36" t="n">
        <x:f>ROUND('Model Results'!E5,0)</x:f>
        <x:v>67033</x:v>
      </x:c>
      <x:c r="E23" s="36" t="n">
        <x:f>ROUND(C23-D23,0)</x:f>
        <x:v>23869</x:v>
      </x:c>
      <x:c r="F23" s="36" t="n">
        <x:f>ROUND(MAX(0,F22-MAX(0,E23)*0.25),0)</x:f>
        <x:v>151969</x:v>
      </x:c>
      <x:c r="G23" s="37" t="n">
        <x:f>'Model Results'!K5</x:f>
        <x:v>14.357520000000001</x:v>
      </x:c>
      <x:c r="H23" s="38" t="n">
        <x:f>'Model Results'!L5</x:f>
        <x:v>0.826281</x:v>
      </x:c>
      <x:c r="I23" s="38" t="n">
        <x:f>'Model Results'!M5</x:f>
        <x:v>0.8447844999999997</x:v>
      </x:c>
      <x:c r="J23" s="39" t="n">
        <x:f>MIN(1,J22+0.03)</x:f>
        <x:v>0.8500000000000001</x:v>
      </x:c>
    </x:row>
    <x:row r="24">
      <x:c r="A24" s="34" t="n">
        <x:v>46327</x:v>
      </x:c>
      <x:c r="B24" s="35" t="str">
        <x:v>Forecast</x:v>
      </x:c>
      <x:c r="C24" s="36" t="n">
        <x:f>ROUND('Model Results'!F6,0)</x:f>
        <x:v>91357</x:v>
      </x:c>
      <x:c r="D24" s="36" t="n">
        <x:f>ROUND('Model Results'!E6,0)</x:f>
        <x:v>67880</x:v>
      </x:c>
      <x:c r="E24" s="36" t="n">
        <x:f>ROUND(C24-D24,0)</x:f>
        <x:v>23477</x:v>
      </x:c>
      <x:c r="F24" s="36" t="n">
        <x:f>ROUND(MAX(0,F23-MAX(0,E24)*0.25),0)</x:f>
        <x:v>146100</x:v>
      </x:c>
      <x:c r="G24" s="37" t="n">
        <x:f>'Model Results'!K6</x:f>
        <x:v>14.6446704</x:v>
      </x:c>
      <x:c r="H24" s="38" t="n">
        <x:f>'Model Results'!L6</x:f>
        <x:v>0.83454381</x:v>
      </x:c>
      <x:c r="I24" s="38" t="n">
        <x:f>'Model Results'!M6</x:f>
        <x:v>0.8574562674999996</x:v>
      </x:c>
      <x:c r="J24" s="39" t="n">
        <x:f>MIN(1,J23+0.03)</x:f>
        <x:v>0.8800000000000001</x:v>
      </x:c>
    </x:row>
    <x:row r="25">
      <x:c r="A25" s="34" t="n">
        <x:v>46357</x:v>
      </x:c>
      <x:c r="B25" s="35" t="str">
        <x:v>Forecast</x:v>
      </x:c>
      <x:c r="C25" s="36" t="n">
        <x:f>ROUND('Model Results'!F7,0)</x:f>
        <x:v>91814</x:v>
      </x:c>
      <x:c r="D25" s="36" t="n">
        <x:f>ROUND('Model Results'!E7,0)</x:f>
        <x:v>68734</x:v>
      </x:c>
      <x:c r="E25" s="36" t="n">
        <x:f>ROUND(C25-D25,0)</x:f>
        <x:v>23080</x:v>
      </x:c>
      <x:c r="F25" s="36" t="n">
        <x:f>ROUND(MAX(0,F24-MAX(0,E25)*0.25),0)</x:f>
        <x:v>140330</x:v>
      </x:c>
      <x:c r="G25" s="37" t="n">
        <x:f>'Model Results'!K7</x:f>
        <x:v>14.937563808</x:v>
      </x:c>
      <x:c r="H25" s="38" t="n">
        <x:f>'Model Results'!L7</x:f>
        <x:v>0.8428892481</x:v>
      </x:c>
      <x:c r="I25" s="38" t="n">
        <x:f>'Model Results'!M7</x:f>
        <x:v>0.8703181115124995</x:v>
      </x:c>
      <x:c r="J25" s="39" t="n">
        <x:f>MIN(1,J24+0.03)</x:f>
        <x:v>0.9100000000000001</x:v>
      </x:c>
    </x:row>
    <x:row r="26">
      <x:c r="A26" s="34" t="n">
        <x:v>46388</x:v>
      </x:c>
      <x:c r="B26" s="35" t="str">
        <x:v>Forecast</x:v>
      </x:c>
      <x:c r="C26" s="36" t="n">
        <x:f>ROUND('Model Results'!F8,0)</x:f>
        <x:v>92273</x:v>
      </x:c>
      <x:c r="D26" s="36" t="n">
        <x:f>ROUND('Model Results'!E8,0)</x:f>
        <x:v>69594</x:v>
      </x:c>
      <x:c r="E26" s="36" t="n">
        <x:f>ROUND(C26-D26,0)</x:f>
        <x:v>22679</x:v>
      </x:c>
      <x:c r="F26" s="36" t="n">
        <x:f>ROUND(MAX(0,F25-MAX(0,E26)*0.25),0)</x:f>
        <x:v>134660</x:v>
      </x:c>
      <x:c r="G26" s="37" t="n">
        <x:f>'Model Results'!K8</x:f>
        <x:v>15.236315084160001</x:v>
      </x:c>
      <x:c r="H26" s="38" t="n">
        <x:f>'Model Results'!L8</x:f>
        <x:v>0.851318140581</x:v>
      </x:c>
      <x:c r="I26" s="38" t="n">
        <x:f>'Model Results'!M8</x:f>
        <x:v>0.8833728831851869</x:v>
      </x:c>
      <x:c r="J26" s="39" t="n">
        <x:f>MIN(1,J25+0.03)</x:f>
        <x:v>0.9400000000000002</x:v>
      </x:c>
    </x:row>
    <x:row r="27">
      <x:c r="A27" s="40" t="n">
        <x:v>46419</x:v>
      </x:c>
      <x:c r="B27" s="41" t="str">
        <x:v>Forecast</x:v>
      </x:c>
      <x:c r="C27" s="42" t="n">
        <x:f>ROUND('Model Results'!F9,0)</x:f>
        <x:v>92734</x:v>
      </x:c>
      <x:c r="D27" s="42" t="n">
        <x:f>ROUND('Model Results'!E9,0)</x:f>
        <x:v>70462</x:v>
      </x:c>
      <x:c r="E27" s="42" t="n">
        <x:f>ROUND(C27-D27,0)</x:f>
        <x:v>22272</x:v>
      </x:c>
      <x:c r="F27" s="42" t="n">
        <x:f>ROUND(MAX(0,F26-MAX(0,E27)*0.25),0)</x:f>
        <x:v>129092</x:v>
      </x:c>
      <x:c r="G27" s="43" t="n">
        <x:f>'Model Results'!K9</x:f>
        <x:v>15.5410413858432</x:v>
      </x:c>
      <x:c r="H27" s="44" t="n">
        <x:f>'Model Results'!L9</x:f>
        <x:v>0.85983132198681</x:v>
      </x:c>
      <x:c r="I27" s="44" t="n">
        <x:f>'Model Results'!M9</x:f>
        <x:v>0.8966234764329646</x:v>
      </x:c>
      <x:c r="J27" s="45" t="n">
        <x:f>MIN(1,J26+0.03)</x:f>
        <x:v>0.9700000000000002</x:v>
      </x:c>
    </x:row>
  </x:sheetData>
  <x:mergeCells>
    <x:mergeCell ref="A1:J1"/>
  </x:mergeCells>
  <x:dataValidations count="1">
    <x:dataValidation type="list" sqref="B4:B27">
      <x:formula1>"Actual,Forecast"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9.75" hidden="0" customWidth="1"/>
    <x:col min="12" max="12" width="9.380000114440918" hidden="0" customWidth="1"/>
    <x:col min="13" max="13" width="14" hidden="0" customWidth="1"/>
    <x:col min="14" max="14" width="12.75" hidden="0" customWidth="1"/>
    <x:col min="16" max="16" width="13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30" customHeight="1">
      <x:c r="A1" s="2" t="str">
        <x:v>Forecast model comparison · six-month horizon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3" ht="34" customHeight="1">
      <x:c r="A3" s="27" t="str">
        <x:v>Month</x:v>
      </x:c>
      <x:c r="B3" s="28" t="str">
        <x:v>ARIMA Expense</x:v>
      </x:c>
      <x:c r="C3" s="28" t="str">
        <x:v>Prophet Expense</x:v>
      </x:c>
      <x:c r="D3" s="28" t="str">
        <x:v>Linear Expense</x:v>
      </x:c>
      <x:c r="E3" s="28" t="str">
        <x:v>Ensemble Expense</x:v>
      </x:c>
      <x:c r="F3" s="28" t="str">
        <x:v>Projected Income</x:v>
      </x:c>
      <x:c r="G3" s="28" t="str">
        <x:v>ARIMA Savings</x:v>
      </x:c>
      <x:c r="H3" s="28" t="str">
        <x:v>Prophet Savings</x:v>
      </x:c>
      <x:c r="I3" s="28" t="str">
        <x:v>Linear Savings</x:v>
      </x:c>
      <x:c r="J3" s="28" t="str">
        <x:v>Ensemble Savings</x:v>
      </x:c>
      <x:c r="K3" s="28" t="str">
        <x:v>Study Hours</x:v>
      </x:c>
      <x:c r="L3" s="28" t="str">
        <x:v>Focus Score</x:v>
      </x:c>
      <x:c r="M3" s="28" t="str">
        <x:v>Habit Completion</x:v>
      </x:c>
      <x:c r="N3" s="29" t="str">
        <x:v>Goal Probability</x:v>
      </x:c>
      <x:c r="P3" t="str">
        <x:v>Month</x:v>
      </x:c>
      <x:c r="Q3" t="str">
        <x:v>Actual</x:v>
      </x:c>
      <x:c r="R3" t="str">
        <x:v>ARIMA</x:v>
      </x:c>
      <x:c r="S3" t="str">
        <x:v>Prophet</x:v>
      </x:c>
      <x:c r="T3" t="str">
        <x:v>Linear</x:v>
      </x:c>
      <x:c r="U3" t="str">
        <x:v>Ensemble</x:v>
      </x:c>
    </x:row>
    <x:row r="4">
      <x:c r="A4" s="30" t="n">
        <x:v>46266</x:v>
      </x:c>
      <x:c r="B4" s="16" t="n">
        <x:f>ROUND('Monthly Data'!$D$21*(1+'Assumptions'!$B$5),0)</x:f>
        <x:v>66830</x:v>
      </x:c>
      <x:c r="C4" s="16" t="n">
        <x:f>ROUND('Monthly Data'!$D$21+(ROW(A4)-3)*'Assumptions'!$B$7*'Assumptions'!$B$6,0)</x:f>
        <x:v>65800</x:v>
      </x:c>
      <x:c r="D4" s="16" t="n">
        <x:f>ROUND('Monthly Data'!$D$21+(ROW(A4)-3)*'Assumptions'!$B$7,0)</x:f>
        <x:v>65950</x:v>
      </x:c>
      <x:c r="E4" s="16" t="n">
        <x:f>ROUND(AVERAGE(B4:D4),0)</x:f>
        <x:v>66193</x:v>
      </x:c>
      <x:c r="F4" s="16" t="n">
        <x:f>ROUND('Monthly Data'!$C$21*(1+'Assumptions'!$B$4),0)</x:f>
        <x:v>90450</x:v>
      </x:c>
      <x:c r="G4" s="16" t="n">
        <x:f>ROUND(F4-B4,0)</x:f>
        <x:v>23620</x:v>
      </x:c>
      <x:c r="H4" s="16" t="n">
        <x:f>ROUND(F4-C4,0)</x:f>
        <x:v>24650</x:v>
      </x:c>
      <x:c r="I4" s="16" t="n">
        <x:f>ROUND(F4-D4,0)</x:f>
        <x:v>24500</x:v>
      </x:c>
      <x:c r="J4" s="16" t="n">
        <x:f>ROUND(F4-E4,0)</x:f>
        <x:v>24257</x:v>
      </x:c>
      <x:c r="K4" s="31" t="n">
        <x:f>'Monthly Data'!$G$21*(1+'Assumptions'!$B$8)</x:f>
        <x:v>14.076</x:v>
      </x:c>
      <x:c r="L4" s="32" t="n">
        <x:f>MIN(1,'Monthly Data'!$H$21*(1+'Assumptions'!$B$9))</x:f>
        <x:v>0.8181</x:v>
      </x:c>
      <x:c r="M4" s="32" t="n">
        <x:f>MIN(1,'Monthly Data'!$I$21*(1+'Assumptions'!$B$10))</x:f>
        <x:v>0.8322999999999998</x:v>
      </x:c>
      <x:c r="N4" s="33" t="n">
        <x:f>MIN(1,AVERAGE(L4,M4,MAX(0,J4/'Assumptions'!$B$11)))</x:f>
        <x:v>0.999337037037037</x:v>
      </x:c>
      <x:c r="P4" t="str">
        <x:f>TEXT('Monthly Data'!A4,"mmm yy")</x:f>
        <x:v>Mar 25</x:v>
      </x:c>
      <x:c r="Q4" s="19" t="n">
        <x:f>'Monthly Data'!D4</x:f>
        <x:v>49200</x:v>
      </x:c>
      <x:c r="R4" s="19"/>
      <x:c r="S4" s="19"/>
      <x:c r="T4" s="19"/>
      <x:c r="U4" s="19"/>
    </x:row>
    <x:row r="5">
      <x:c r="A5" s="30" t="n">
        <x:v>46296</x:v>
      </x:c>
      <x:c r="B5" s="16" t="n">
        <x:f>ROUND(B4*(1+'Assumptions'!$B$5*0.7),0)</x:f>
        <x:v>68000</x:v>
      </x:c>
      <x:c r="C5" s="16" t="n">
        <x:f>ROUND('Monthly Data'!$D$21+(ROW(A5)-3)*'Assumptions'!$B$7*'Assumptions'!$B$6,0)</x:f>
        <x:v>66400</x:v>
      </x:c>
      <x:c r="D5" s="16" t="n">
        <x:f>ROUND('Monthly Data'!$D$21+(ROW(A5)-3)*'Assumptions'!$B$7,0)</x:f>
        <x:v>66700</x:v>
      </x:c>
      <x:c r="E5" s="16" t="n">
        <x:f>ROUND(AVERAGE(B5:D5),0)</x:f>
        <x:v>67033</x:v>
      </x:c>
      <x:c r="F5" s="16" t="n">
        <x:f>ROUND(F4*(1+'Assumptions'!$B$4),0)</x:f>
        <x:v>90902</x:v>
      </x:c>
      <x:c r="G5" s="16" t="n">
        <x:f>ROUND(F5-B5,0)</x:f>
        <x:v>22902</x:v>
      </x:c>
      <x:c r="H5" s="16" t="n">
        <x:f>ROUND(F5-C5,0)</x:f>
        <x:v>24502</x:v>
      </x:c>
      <x:c r="I5" s="16" t="n">
        <x:f>ROUND(F5-D5,0)</x:f>
        <x:v>24202</x:v>
      </x:c>
      <x:c r="J5" s="16" t="n">
        <x:f>ROUND(F5-E5,0)</x:f>
        <x:v>23869</x:v>
      </x:c>
      <x:c r="K5" s="31" t="n">
        <x:f>K4*(1+'Assumptions'!$B$8)</x:f>
        <x:v>14.357520000000001</x:v>
      </x:c>
      <x:c r="L5" s="32" t="n">
        <x:f>MIN(1,L4*(1+'Assumptions'!$B$9))</x:f>
        <x:v>0.826281</x:v>
      </x:c>
      <x:c r="M5" s="32" t="n">
        <x:f>MIN(1,M4*(1+'Assumptions'!$B$10))</x:f>
        <x:v>0.8447844999999997</x:v>
      </x:c>
      <x:c r="N5" s="33" t="n">
        <x:f>MIN(1,AVERAGE(L5,M5,MAX(0,J5/'Assumptions'!$B$11)))</x:f>
        <x:v>0.9990403518518517</x:v>
      </x:c>
      <x:c r="P5" t="str">
        <x:f>TEXT('Monthly Data'!A5,"mmm yy")</x:f>
        <x:v>Apr 25</x:v>
      </x:c>
      <x:c r="Q5" s="19" t="n">
        <x:f>'Monthly Data'!D5</x:f>
        <x:v>50800</x:v>
      </x:c>
      <x:c r="R5" s="19"/>
      <x:c r="S5" s="19"/>
      <x:c r="T5" s="19"/>
      <x:c r="U5" s="19"/>
    </x:row>
    <x:row r="6">
      <x:c r="A6" s="30" t="n">
        <x:v>46327</x:v>
      </x:c>
      <x:c r="B6" s="16" t="n">
        <x:f>ROUND(B5*(1+'Assumptions'!$B$5*0.7),0)</x:f>
        <x:v>69190</x:v>
      </x:c>
      <x:c r="C6" s="16" t="n">
        <x:f>ROUND('Monthly Data'!$D$21+(ROW(A6)-3)*'Assumptions'!$B$7*'Assumptions'!$B$6,0)</x:f>
        <x:v>67000</x:v>
      </x:c>
      <x:c r="D6" s="16" t="n">
        <x:f>ROUND('Monthly Data'!$D$21+(ROW(A6)-3)*'Assumptions'!$B$7,0)</x:f>
        <x:v>67450</x:v>
      </x:c>
      <x:c r="E6" s="16" t="n">
        <x:f>ROUND(AVERAGE(B6:D6),0)</x:f>
        <x:v>67880</x:v>
      </x:c>
      <x:c r="F6" s="16" t="n">
        <x:f>ROUND(F5*(1+'Assumptions'!$B$4),0)</x:f>
        <x:v>91357</x:v>
      </x:c>
      <x:c r="G6" s="16" t="n">
        <x:f>ROUND(F6-B6,0)</x:f>
        <x:v>22167</x:v>
      </x:c>
      <x:c r="H6" s="16" t="n">
        <x:f>ROUND(F6-C6,0)</x:f>
        <x:v>24357</x:v>
      </x:c>
      <x:c r="I6" s="16" t="n">
        <x:f>ROUND(F6-D6,0)</x:f>
        <x:v>23907</x:v>
      </x:c>
      <x:c r="J6" s="16" t="n">
        <x:f>ROUND(F6-E6,0)</x:f>
        <x:v>23477</x:v>
      </x:c>
      <x:c r="K6" s="31" t="n">
        <x:f>K5*(1+'Assumptions'!$B$8)</x:f>
        <x:v>14.6446704</x:v>
      </x:c>
      <x:c r="L6" s="32" t="n">
        <x:f>MIN(1,L5*(1+'Assumptions'!$B$9))</x:f>
        <x:v>0.83454381</x:v>
      </x:c>
      <x:c r="M6" s="32" t="n">
        <x:f>MIN(1,M5*(1+'Assumptions'!$B$10))</x:f>
        <x:v>0.8574562674999996</x:v>
      </x:c>
      <x:c r="N6" s="33" t="n">
        <x:f>MIN(1,AVERAGE(L6,M6,MAX(0,J6/'Assumptions'!$B$11)))</x:f>
        <x:v>0.9987592850925925</x:v>
      </x:c>
      <x:c r="P6" t="str">
        <x:f>TEXT('Monthly Data'!A6,"mmm yy")</x:f>
        <x:v>May 25</x:v>
      </x:c>
      <x:c r="Q6" s="19" t="n">
        <x:f>'Monthly Data'!D6</x:f>
        <x:v>50100</x:v>
      </x:c>
      <x:c r="R6" s="19"/>
      <x:c r="S6" s="19"/>
      <x:c r="T6" s="19"/>
      <x:c r="U6" s="19"/>
    </x:row>
    <x:row r="7">
      <x:c r="A7" s="30" t="n">
        <x:v>46357</x:v>
      </x:c>
      <x:c r="B7" s="16" t="n">
        <x:f>ROUND(B6*(1+'Assumptions'!$B$5*0.7),0)</x:f>
        <x:v>70401</x:v>
      </x:c>
      <x:c r="C7" s="16" t="n">
        <x:f>ROUND('Monthly Data'!$D$21+(ROW(A7)-3)*'Assumptions'!$B$7*'Assumptions'!$B$6,0)</x:f>
        <x:v>67600</x:v>
      </x:c>
      <x:c r="D7" s="16" t="n">
        <x:f>ROUND('Monthly Data'!$D$21+(ROW(A7)-3)*'Assumptions'!$B$7,0)</x:f>
        <x:v>68200</x:v>
      </x:c>
      <x:c r="E7" s="16" t="n">
        <x:f>ROUND(AVERAGE(B7:D7),0)</x:f>
        <x:v>68734</x:v>
      </x:c>
      <x:c r="F7" s="16" t="n">
        <x:f>ROUND(F6*(1+'Assumptions'!$B$4),0)</x:f>
        <x:v>91814</x:v>
      </x:c>
      <x:c r="G7" s="16" t="n">
        <x:f>ROUND(F7-B7,0)</x:f>
        <x:v>21413</x:v>
      </x:c>
      <x:c r="H7" s="16" t="n">
        <x:f>ROUND(F7-C7,0)</x:f>
        <x:v>24214</x:v>
      </x:c>
      <x:c r="I7" s="16" t="n">
        <x:f>ROUND(F7-D7,0)</x:f>
        <x:v>23614</x:v>
      </x:c>
      <x:c r="J7" s="16" t="n">
        <x:f>ROUND(F7-E7,0)</x:f>
        <x:v>23080</x:v>
      </x:c>
      <x:c r="K7" s="31" t="n">
        <x:f>K6*(1+'Assumptions'!$B$8)</x:f>
        <x:v>14.937563808</x:v>
      </x:c>
      <x:c r="L7" s="32" t="n">
        <x:f>MIN(1,L6*(1+'Assumptions'!$B$9))</x:f>
        <x:v>0.8428892481</x:v>
      </x:c>
      <x:c r="M7" s="32" t="n">
        <x:f>MIN(1,M6*(1+'Assumptions'!$B$10))</x:f>
        <x:v>0.8703181115124995</x:v>
      </x:c>
      <x:c r="N7" s="33" t="n">
        <x:f>MIN(1,AVERAGE(L7,M7,MAX(0,J7/'Assumptions'!$B$11)))</x:f>
        <x:v>0.9984765272782404</x:v>
      </x:c>
      <x:c r="P7" t="str">
        <x:f>TEXT('Monthly Data'!A7,"mmm yy")</x:f>
        <x:v>Jun 25</x:v>
      </x:c>
      <x:c r="Q7" s="19" t="n">
        <x:f>'Monthly Data'!D7</x:f>
        <x:v>52500</x:v>
      </x:c>
      <x:c r="R7" s="19"/>
      <x:c r="S7" s="19"/>
      <x:c r="T7" s="19"/>
      <x:c r="U7" s="19"/>
    </x:row>
    <x:row r="8">
      <x:c r="A8" s="30" t="n">
        <x:v>46388</x:v>
      </x:c>
      <x:c r="B8" s="16" t="n">
        <x:f>ROUND(B7*(1+'Assumptions'!$B$5*0.7),0)</x:f>
        <x:v>71633</x:v>
      </x:c>
      <x:c r="C8" s="16" t="n">
        <x:f>ROUND('Monthly Data'!$D$21+(ROW(A8)-3)*'Assumptions'!$B$7*'Assumptions'!$B$6,0)</x:f>
        <x:v>68200</x:v>
      </x:c>
      <x:c r="D8" s="16" t="n">
        <x:f>ROUND('Monthly Data'!$D$21+(ROW(A8)-3)*'Assumptions'!$B$7,0)</x:f>
        <x:v>68950</x:v>
      </x:c>
      <x:c r="E8" s="16" t="n">
        <x:f>ROUND(AVERAGE(B8:D8),0)</x:f>
        <x:v>69594</x:v>
      </x:c>
      <x:c r="F8" s="16" t="n">
        <x:f>ROUND(F7*(1+'Assumptions'!$B$4),0)</x:f>
        <x:v>92273</x:v>
      </x:c>
      <x:c r="G8" s="16" t="n">
        <x:f>ROUND(F8-B8,0)</x:f>
        <x:v>20640</x:v>
      </x:c>
      <x:c r="H8" s="16" t="n">
        <x:f>ROUND(F8-C8,0)</x:f>
        <x:v>24073</x:v>
      </x:c>
      <x:c r="I8" s="16" t="n">
        <x:f>ROUND(F8-D8,0)</x:f>
        <x:v>23323</x:v>
      </x:c>
      <x:c r="J8" s="16" t="n">
        <x:f>ROUND(F8-E8,0)</x:f>
        <x:v>22679</x:v>
      </x:c>
      <x:c r="K8" s="31" t="n">
        <x:f>K7*(1+'Assumptions'!$B$8)</x:f>
        <x:v>15.236315084160001</x:v>
      </x:c>
      <x:c r="L8" s="32" t="n">
        <x:f>MIN(1,L7*(1+'Assumptions'!$B$9))</x:f>
        <x:v>0.851318140581</x:v>
      </x:c>
      <x:c r="M8" s="32" t="n">
        <x:f>MIN(1,M7*(1+'Assumptions'!$B$10))</x:f>
        <x:v>0.8833728831851869</x:v>
      </x:c>
      <x:c r="N8" s="33" t="n">
        <x:f>MIN(1,AVERAGE(L8,M8,MAX(0,J8/'Assumptions'!$B$11)))</x:f>
        <x:v>0.9982118227368773</x:v>
      </x:c>
      <x:c r="P8" t="str">
        <x:f>TEXT('Monthly Data'!A8,"mmm yy")</x:f>
        <x:v>Jul 25</x:v>
      </x:c>
      <x:c r="Q8" s="19" t="n">
        <x:f>'Monthly Data'!D8</x:f>
        <x:v>51700</x:v>
      </x:c>
      <x:c r="R8" s="19"/>
      <x:c r="S8" s="19"/>
      <x:c r="T8" s="19"/>
      <x:c r="U8" s="19"/>
    </x:row>
    <x:row r="9">
      <x:c r="A9" s="46" t="n">
        <x:v>46419</x:v>
      </x:c>
      <x:c r="B9" s="47" t="n">
        <x:f>ROUND(B8*(1+'Assumptions'!$B$5*0.7),0)</x:f>
        <x:v>72887</x:v>
      </x:c>
      <x:c r="C9" s="47" t="n">
        <x:f>ROUND('Monthly Data'!$D$21+(ROW(A9)-3)*'Assumptions'!$B$7*'Assumptions'!$B$6,0)</x:f>
        <x:v>68800</x:v>
      </x:c>
      <x:c r="D9" s="47" t="n">
        <x:f>ROUND('Monthly Data'!$D$21+(ROW(A9)-3)*'Assumptions'!$B$7,0)</x:f>
        <x:v>69700</x:v>
      </x:c>
      <x:c r="E9" s="47" t="n">
        <x:f>ROUND(AVERAGE(B9:D9),0)</x:f>
        <x:v>70462</x:v>
      </x:c>
      <x:c r="F9" s="47" t="n">
        <x:f>ROUND(F8*(1+'Assumptions'!$B$4),0)</x:f>
        <x:v>92734</x:v>
      </x:c>
      <x:c r="G9" s="47" t="n">
        <x:f>ROUND(F9-B9,0)</x:f>
        <x:v>19847</x:v>
      </x:c>
      <x:c r="H9" s="47" t="n">
        <x:f>ROUND(F9-C9,0)</x:f>
        <x:v>23934</x:v>
      </x:c>
      <x:c r="I9" s="47" t="n">
        <x:f>ROUND(F9-D9,0)</x:f>
        <x:v>23034</x:v>
      </x:c>
      <x:c r="J9" s="47" t="n">
        <x:f>ROUND(F9-E9,0)</x:f>
        <x:v>22272</x:v>
      </x:c>
      <x:c r="K9" s="48" t="n">
        <x:f>K8*(1+'Assumptions'!$B$8)</x:f>
        <x:v>15.5410413858432</x:v>
      </x:c>
      <x:c r="L9" s="49" t="n">
        <x:f>MIN(1,L8*(1+'Assumptions'!$B$9))</x:f>
        <x:v>0.85983132198681</x:v>
      </x:c>
      <x:c r="M9" s="49" t="n">
        <x:f>MIN(1,M8*(1+'Assumptions'!$B$10))</x:f>
        <x:v>0.8966234764329646</x:v>
      </x:c>
      <x:c r="N9" s="50" t="n">
        <x:f>MIN(1,AVERAGE(L9,M9,MAX(0,J9/'Assumptions'!$B$11)))</x:f>
        <x:v>0.9979293772510359</x:v>
      </x:c>
      <x:c r="P9" t="str">
        <x:f>TEXT('Monthly Data'!A9,"mmm yy")</x:f>
        <x:v>Aug 25</x:v>
      </x:c>
      <x:c r="Q9" s="19" t="n">
        <x:f>'Monthly Data'!D9</x:f>
        <x:v>54200</x:v>
      </x:c>
      <x:c r="R9" s="19"/>
      <x:c r="S9" s="19"/>
      <x:c r="T9" s="19"/>
      <x:c r="U9" s="19"/>
    </x:row>
    <x:row r="10">
      <x:c r="P10" t="str">
        <x:f>TEXT('Monthly Data'!A10,"mmm yy")</x:f>
        <x:v>Sep 25</x:v>
      </x:c>
      <x:c r="Q10" s="19" t="n">
        <x:f>'Monthly Data'!D10</x:f>
        <x:v>53800</x:v>
      </x:c>
      <x:c r="R10" s="19"/>
      <x:c r="S10" s="19"/>
      <x:c r="T10" s="19"/>
      <x:c r="U10" s="19"/>
    </x:row>
    <x:row r="11">
      <x:c r="P11" t="str">
        <x:f>TEXT('Monthly Data'!A11,"mmm yy")</x:f>
        <x:v>Oct 25</x:v>
      </x:c>
      <x:c r="Q11" s="19" t="n">
        <x:f>'Monthly Data'!D11</x:f>
        <x:v>55100</x:v>
      </x:c>
      <x:c r="R11" s="19"/>
      <x:c r="S11" s="19"/>
      <x:c r="T11" s="19"/>
      <x:c r="U11" s="19"/>
    </x:row>
    <x:row r="12">
      <x:c r="A12" s="53" t="str">
        <x:v>Model</x:v>
      </x:c>
      <x:c r="B12" s="54" t="str">
        <x:v>MAE</x:v>
      </x:c>
      <x:c r="C12" s="54" t="str">
        <x:v>RMSE</x:v>
      </x:c>
      <x:c r="D12" s="54" t="str">
        <x:v>MAPE</x:v>
      </x:c>
      <x:c r="E12" s="55" t="str">
        <x:v>Rank</x:v>
      </x:c>
      <x:c r="P12" t="str">
        <x:f>TEXT('Monthly Data'!A12,"mmm yy")</x:f>
        <x:v>Nov 25</x:v>
      </x:c>
      <x:c r="Q12" s="19" t="n">
        <x:f>'Monthly Data'!D12</x:f>
        <x:v>56300</x:v>
      </x:c>
      <x:c r="R12" s="19"/>
      <x:c r="S12" s="19"/>
      <x:c r="T12" s="19"/>
      <x:c r="U12" s="19"/>
    </x:row>
    <x:row r="13">
      <x:c r="A13" s="8" t="str">
        <x:v>ARIMA</x:v>
      </x:c>
      <x:c r="B13" s="16" t="n">
        <x:v>1180</x:v>
      </x:c>
      <x:c r="C13" s="16" t="n">
        <x:v>1490</x:v>
      </x:c>
      <x:c r="D13" s="15" t="n">
        <x:v>0.021</x:v>
      </x:c>
      <x:c r="E13" s="10" t="n">
        <x:v>1</x:v>
      </x:c>
      <x:c r="P13" t="str">
        <x:f>TEXT('Monthly Data'!A13,"mmm yy")</x:f>
        <x:v>Dec 25</x:v>
      </x:c>
      <x:c r="Q13" s="19" t="n">
        <x:f>'Monthly Data'!D13</x:f>
        <x:v>55700</x:v>
      </x:c>
      <x:c r="R13" s="19"/>
      <x:c r="S13" s="19"/>
      <x:c r="T13" s="19"/>
      <x:c r="U13" s="19"/>
    </x:row>
    <x:row r="14">
      <x:c r="A14" s="8" t="str">
        <x:v>Prophet</x:v>
      </x:c>
      <x:c r="B14" s="16" t="n">
        <x:v>1475</x:v>
      </x:c>
      <x:c r="C14" s="16" t="n">
        <x:v>1820</x:v>
      </x:c>
      <x:c r="D14" s="15" t="n">
        <x:v>0.026</x:v>
      </x:c>
      <x:c r="E14" s="10" t="n">
        <x:v>2</x:v>
      </x:c>
      <x:c r="P14" t="str">
        <x:f>TEXT('Monthly Data'!A14,"mmm yy")</x:f>
        <x:v>Jan 26</x:v>
      </x:c>
      <x:c r="Q14" s="19" t="n">
        <x:f>'Monthly Data'!D14</x:f>
        <x:v>57900</x:v>
      </x:c>
      <x:c r="R14" s="19"/>
      <x:c r="S14" s="19"/>
      <x:c r="T14" s="19"/>
      <x:c r="U14" s="19"/>
    </x:row>
    <x:row r="15">
      <x:c r="A15" s="11" t="str">
        <x:v>Linear Regression</x:v>
      </x:c>
      <x:c r="B15" s="47" t="n">
        <x:v>2140</x:v>
      </x:c>
      <x:c r="C15" s="47" t="n">
        <x:v>2630</x:v>
      </x:c>
      <x:c r="D15" s="56" t="n">
        <x:v>0.038</x:v>
      </x:c>
      <x:c r="E15" s="13" t="n">
        <x:v>3</x:v>
      </x:c>
      <x:c r="P15" t="str">
        <x:f>TEXT('Monthly Data'!A15,"mmm yy")</x:f>
        <x:v>Feb 26</x:v>
      </x:c>
      <x:c r="Q15" s="19" t="n">
        <x:f>'Monthly Data'!D15</x:f>
        <x:v>58800</x:v>
      </x:c>
      <x:c r="R15" s="19"/>
      <x:c r="S15" s="19"/>
      <x:c r="T15" s="19"/>
      <x:c r="U15" s="19"/>
    </x:row>
    <x:row r="16">
      <x:c r="P16" t="str">
        <x:f>TEXT('Monthly Data'!A16,"mmm yy")</x:f>
        <x:v>Mar 26</x:v>
      </x:c>
      <x:c r="Q16" s="19" t="n">
        <x:f>'Monthly Data'!D16</x:f>
        <x:v>59600</x:v>
      </x:c>
      <x:c r="R16" s="19"/>
      <x:c r="S16" s="19"/>
      <x:c r="T16" s="19"/>
      <x:c r="U16" s="19"/>
    </x:row>
    <x:row r="17">
      <x:c r="P17" t="str">
        <x:f>TEXT('Monthly Data'!A17,"mmm yy")</x:f>
        <x:v>Apr 26</x:v>
      </x:c>
      <x:c r="Q17" s="19" t="n">
        <x:f>'Monthly Data'!D17</x:f>
        <x:v>60400</x:v>
      </x:c>
      <x:c r="R17" s="19"/>
      <x:c r="S17" s="19"/>
      <x:c r="T17" s="19"/>
      <x:c r="U17" s="19"/>
    </x:row>
    <x:row r="18">
      <x:c r="P18" t="str">
        <x:f>TEXT('Monthly Data'!A18,"mmm yy")</x:f>
        <x:v>May 26</x:v>
      </x:c>
      <x:c r="Q18" s="19" t="n">
        <x:f>'Monthly Data'!D18</x:f>
        <x:v>61800</x:v>
      </x:c>
      <x:c r="R18" s="19"/>
      <x:c r="S18" s="19"/>
      <x:c r="T18" s="19"/>
      <x:c r="U18" s="19"/>
    </x:row>
    <x:row r="19">
      <x:c r="P19" t="str">
        <x:f>TEXT('Monthly Data'!A19,"mmm yy")</x:f>
        <x:v>Jun 26</x:v>
      </x:c>
      <x:c r="Q19" s="19" t="n">
        <x:f>'Monthly Data'!D19</x:f>
        <x:v>62500</x:v>
      </x:c>
      <x:c r="R19" s="19"/>
      <x:c r="S19" s="19"/>
      <x:c r="T19" s="19"/>
      <x:c r="U19" s="19"/>
    </x:row>
    <x:row r="20">
      <x:c r="P20" t="str">
        <x:f>TEXT('Monthly Data'!A20,"mmm yy")</x:f>
        <x:v>Jul 26</x:v>
      </x:c>
      <x:c r="Q20" s="19" t="n">
        <x:f>'Monthly Data'!D20</x:f>
        <x:v>64100</x:v>
      </x:c>
      <x:c r="R20" s="19"/>
      <x:c r="S20" s="19"/>
      <x:c r="T20" s="19"/>
      <x:c r="U20" s="19"/>
    </x:row>
    <x:row r="21">
      <x:c r="P21" t="str">
        <x:f>TEXT('Monthly Data'!A21,"mmm yy")</x:f>
        <x:v>Aug 26</x:v>
      </x:c>
      <x:c r="Q21" s="19" t="n">
        <x:f>'Monthly Data'!D21</x:f>
        <x:v>65200</x:v>
      </x:c>
      <x:c r="R21" s="19"/>
      <x:c r="S21" s="19"/>
      <x:c r="T21" s="19"/>
      <x:c r="U21" s="19"/>
    </x:row>
    <x:row r="22">
      <x:c r="P22" t="str">
        <x:f>TEXT('Monthly Data'!A22,"mmm yy")</x:f>
        <x:v>Sep 26</x:v>
      </x:c>
      <x:c r="Q22" s="19"/>
      <x:c r="R22" s="19" t="n">
        <x:f>B4</x:f>
        <x:v>66830</x:v>
      </x:c>
      <x:c r="S22" s="19" t="n">
        <x:f>C4</x:f>
        <x:v>65800</x:v>
      </x:c>
      <x:c r="T22" s="19" t="n">
        <x:f>D4</x:f>
        <x:v>65950</x:v>
      </x:c>
      <x:c r="U22" s="19" t="n">
        <x:f>E4</x:f>
        <x:v>66193</x:v>
      </x:c>
    </x:row>
    <x:row r="23">
      <x:c r="P23" t="str">
        <x:f>TEXT('Monthly Data'!A23,"mmm yy")</x:f>
        <x:v>Oct 26</x:v>
      </x:c>
      <x:c r="Q23" s="19"/>
      <x:c r="R23" s="19" t="n">
        <x:f>B5</x:f>
        <x:v>68000</x:v>
      </x:c>
      <x:c r="S23" s="19" t="n">
        <x:f>C5</x:f>
        <x:v>66400</x:v>
      </x:c>
      <x:c r="T23" s="19" t="n">
        <x:f>D5</x:f>
        <x:v>66700</x:v>
      </x:c>
      <x:c r="U23" s="19" t="n">
        <x:f>E5</x:f>
        <x:v>67033</x:v>
      </x:c>
    </x:row>
    <x:row r="24">
      <x:c r="P24" t="str">
        <x:f>TEXT('Monthly Data'!A24,"mmm yy")</x:f>
        <x:v>Nov 26</x:v>
      </x:c>
      <x:c r="Q24" s="19"/>
      <x:c r="R24" s="19" t="n">
        <x:f>B6</x:f>
        <x:v>69190</x:v>
      </x:c>
      <x:c r="S24" s="19" t="n">
        <x:f>C6</x:f>
        <x:v>67000</x:v>
      </x:c>
      <x:c r="T24" s="19" t="n">
        <x:f>D6</x:f>
        <x:v>67450</x:v>
      </x:c>
      <x:c r="U24" s="19" t="n">
        <x:f>E6</x:f>
        <x:v>67880</x:v>
      </x:c>
    </x:row>
    <x:row r="25">
      <x:c r="P25" t="str">
        <x:f>TEXT('Monthly Data'!A25,"mmm yy")</x:f>
        <x:v>Dec 26</x:v>
      </x:c>
      <x:c r="Q25" s="19"/>
      <x:c r="R25" s="19" t="n">
        <x:f>B7</x:f>
        <x:v>70401</x:v>
      </x:c>
      <x:c r="S25" s="19" t="n">
        <x:f>C7</x:f>
        <x:v>67600</x:v>
      </x:c>
      <x:c r="T25" s="19" t="n">
        <x:f>D7</x:f>
        <x:v>68200</x:v>
      </x:c>
      <x:c r="U25" s="19" t="n">
        <x:f>E7</x:f>
        <x:v>68734</x:v>
      </x:c>
    </x:row>
    <x:row r="26">
      <x:c r="P26" t="str">
        <x:f>TEXT('Monthly Data'!A26,"mmm yy")</x:f>
        <x:v>Jan 27</x:v>
      </x:c>
      <x:c r="Q26" s="19"/>
      <x:c r="R26" s="19" t="n">
        <x:f>B8</x:f>
        <x:v>71633</x:v>
      </x:c>
      <x:c r="S26" s="19" t="n">
        <x:f>C8</x:f>
        <x:v>68200</x:v>
      </x:c>
      <x:c r="T26" s="19" t="n">
        <x:f>D8</x:f>
        <x:v>68950</x:v>
      </x:c>
      <x:c r="U26" s="19" t="n">
        <x:f>E8</x:f>
        <x:v>69594</x:v>
      </x:c>
    </x:row>
    <x:row r="27">
      <x:c r="P27" t="str">
        <x:f>TEXT('Monthly Data'!A27,"mmm yy")</x:f>
        <x:v>Feb 27</x:v>
      </x:c>
      <x:c r="Q27" s="19"/>
      <x:c r="R27" s="19" t="n">
        <x:f>B9</x:f>
        <x:v>72887</x:v>
      </x:c>
      <x:c r="S27" s="19" t="n">
        <x:f>C9</x:f>
        <x:v>68800</x:v>
      </x:c>
      <x:c r="T27" s="19" t="n">
        <x:f>D9</x:f>
        <x:v>69700</x:v>
      </x:c>
      <x:c r="U27" s="19" t="n">
        <x:f>E9</x:f>
        <x:v>70462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55" hidden="0" customWidth="1"/>
  </x:cols>
  <x:sheetData>
    <x:row r="1" ht="30" customHeight="1">
      <x:c r="A1" s="2" t="str">
        <x:v>Forecast assumptions &amp; controls</x:v>
      </x:c>
      <x:c r="B1" s="2"/>
      <x:c r="C1" s="2"/>
      <x:c r="D1" s="2"/>
      <x:c r="E1" s="2"/>
      <x:c r="F1" s="2"/>
    </x:row>
    <x:row r="3">
      <x:c r="A3" s="4" t="str">
        <x:v>Driver</x:v>
      </x:c>
      <x:c r="B3" s="4" t="str">
        <x:v>Value</x:v>
      </x:c>
      <x:c r="C3" s="4" t="str">
        <x:v>Purpose</x:v>
      </x:c>
    </x:row>
    <x:row r="4">
      <x:c r="A4" s="5" t="str">
        <x:v>Monthly income growth</x:v>
      </x:c>
      <x:c r="B4" s="14" t="n">
        <x:v>0.005</x:v>
      </x:c>
      <x:c r="C4" s="7" t="str">
        <x:v>Expected change in recurring income</x:v>
      </x:c>
    </x:row>
    <x:row r="5">
      <x:c r="A5" s="8" t="str">
        <x:v>Expense momentum</x:v>
      </x:c>
      <x:c r="B5" s="15" t="n">
        <x:v>0.025</x:v>
      </x:c>
      <x:c r="C5" s="10" t="str">
        <x:v>Short-run persistence used by ARIMA-style projection</x:v>
      </x:c>
    </x:row>
    <x:row r="6">
      <x:c r="A6" s="8" t="str">
        <x:v>Prophet trend factor</x:v>
      </x:c>
      <x:c r="B6" s="15" t="n">
        <x:v>0.8</x:v>
      </x:c>
      <x:c r="C6" s="10" t="str">
        <x:v>Moderates the long-run expense trend</x:v>
      </x:c>
    </x:row>
    <x:row r="7">
      <x:c r="A7" s="8" t="str">
        <x:v>Linear monthly increment</x:v>
      </x:c>
      <x:c r="B7" s="16" t="n">
        <x:v>750</x:v>
      </x:c>
      <x:c r="C7" s="10" t="str">
        <x:v>Slope applied by linear regression scenario</x:v>
      </x:c>
    </x:row>
    <x:row r="8">
      <x:c r="A8" s="8" t="str">
        <x:v>Study improvement</x:v>
      </x:c>
      <x:c r="B8" s="15" t="n">
        <x:v>0.02</x:v>
      </x:c>
      <x:c r="C8" s="10" t="str">
        <x:v>Expected monthly improvement in study hours</x:v>
      </x:c>
    </x:row>
    <x:row r="9">
      <x:c r="A9" s="8" t="str">
        <x:v>Focus improvement</x:v>
      </x:c>
      <x:c r="B9" s="15" t="n">
        <x:v>0.01</x:v>
      </x:c>
      <x:c r="C9" s="10" t="str">
        <x:v>Expected monthly improvement in focus score</x:v>
      </x:c>
    </x:row>
    <x:row r="10">
      <x:c r="A10" s="8" t="str">
        <x:v>Habit improvement</x:v>
      </x:c>
      <x:c r="B10" s="15" t="n">
        <x:v>0.015</x:v>
      </x:c>
      <x:c r="C10" s="10" t="str">
        <x:v>Expected monthly improvement in completion rate</x:v>
      </x:c>
    </x:row>
    <x:row r="11">
      <x:c r="A11" s="8" t="str">
        <x:v>Monthly savings goal</x:v>
      </x:c>
      <x:c r="B11" s="16" t="n">
        <x:v>18000</x:v>
      </x:c>
      <x:c r="C11" s="10" t="str">
        <x:v>Target used for goal-achievement probability</x:v>
      </x:c>
    </x:row>
    <x:row r="12">
      <x:c r="A12" s="8" t="str">
        <x:v>History months</x:v>
      </x:c>
      <x:c r="B12" s="9" t="n">
        <x:v>18</x:v>
      </x:c>
      <x:c r="C12" s="10" t="str">
        <x:v>Number of actual months</x:v>
      </x:c>
    </x:row>
    <x:row r="13">
      <x:c r="A13" s="11" t="str">
        <x:v>Forecast months</x:v>
      </x:c>
      <x:c r="B13" s="12" t="n">
        <x:v>6</x:v>
      </x:c>
      <x:c r="C13" s="13" t="str">
        <x:v>Number of projected months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48" hidden="0" customWidth="1"/>
    <x:col min="4" max="4" width="38" hidden="0" customWidth="1"/>
  </x:cols>
  <x:sheetData>
    <x:row r="1" ht="30" customHeight="1">
      <x:c r="A1" s="2" t="str">
        <x:v>Data dictionary</x:v>
      </x:c>
      <x:c r="B1" s="2"/>
      <x:c r="C1" s="2"/>
      <x:c r="D1" s="2"/>
    </x:row>
    <x:row r="3">
      <x:c r="A3" s="57" t="str">
        <x:v>Field</x:v>
      </x:c>
      <x:c r="B3" s="58" t="str">
        <x:v>Type</x:v>
      </x:c>
      <x:c r="C3" s="58" t="str">
        <x:v>Definition</x:v>
      </x:c>
      <x:c r="D3" s="59" t="str">
        <x:v>Source / formula</x:v>
      </x:c>
    </x:row>
    <x:row r="4">
      <x:c r="A4" s="8" t="str">
        <x:v>Month</x:v>
      </x:c>
      <x:c r="B4" s="9" t="str">
        <x:v>Date</x:v>
      </x:c>
      <x:c r="C4" s="60" t="str">
        <x:v>Monthly observation or forecast period</x:v>
      </x:c>
      <x:c r="D4" s="61" t="str">
        <x:v>Input</x:v>
      </x:c>
    </x:row>
    <x:row r="5">
      <x:c r="A5" s="8" t="str">
        <x:v>Record Type</x:v>
      </x:c>
      <x:c r="B5" s="9" t="str">
        <x:v>Category</x:v>
      </x:c>
      <x:c r="C5" s="60" t="str">
        <x:v>Actual or Forecast</x:v>
      </x:c>
      <x:c r="D5" s="61" t="str">
        <x:v>Input</x:v>
      </x:c>
    </x:row>
    <x:row r="6">
      <x:c r="A6" s="8" t="str">
        <x:v>Income</x:v>
      </x:c>
      <x:c r="B6" s="9" t="str">
        <x:v>Currency</x:v>
      </x:c>
      <x:c r="C6" s="60" t="str">
        <x:v>Recurring monthly income</x:v>
      </x:c>
      <x:c r="D6" s="61" t="str">
        <x:v>Historical input; forecast assumption</x:v>
      </x:c>
    </x:row>
    <x:row r="7">
      <x:c r="A7" s="8" t="str">
        <x:v>Expenses</x:v>
      </x:c>
      <x:c r="B7" s="9" t="str">
        <x:v>Currency</x:v>
      </x:c>
      <x:c r="C7" s="60" t="str">
        <x:v>Total monthly expenditure</x:v>
      </x:c>
      <x:c r="D7" s="61" t="str">
        <x:v>Historical input; ensemble model</x:v>
      </x:c>
    </x:row>
    <x:row r="8">
      <x:c r="A8" s="8" t="str">
        <x:v>Net Savings</x:v>
      </x:c>
      <x:c r="B8" s="9" t="str">
        <x:v>Currency</x:v>
      </x:c>
      <x:c r="C8" s="60" t="str">
        <x:v>Income less expenses</x:v>
      </x:c>
      <x:c r="D8" s="61" t="str">
        <x:v>Income - Expenses</x:v>
      </x:c>
    </x:row>
    <x:row r="9">
      <x:c r="A9" s="8" t="str">
        <x:v>Debt Balance</x:v>
      </x:c>
      <x:c r="B9" s="9" t="str">
        <x:v>Currency</x:v>
      </x:c>
      <x:c r="C9" s="60" t="str">
        <x:v>Outstanding debt</x:v>
      </x:c>
      <x:c r="D9" s="61" t="str">
        <x:v>Input; forecast reduction rule</x:v>
      </x:c>
    </x:row>
    <x:row r="10">
      <x:c r="A10" s="8" t="str">
        <x:v>Study Hours</x:v>
      </x:c>
      <x:c r="B10" s="9" t="str">
        <x:v>Number</x:v>
      </x:c>
      <x:c r="C10" s="60" t="str">
        <x:v>Average focused study hours per week</x:v>
      </x:c>
      <x:c r="D10" s="61" t="str">
        <x:v>Input; growth assumption</x:v>
      </x:c>
    </x:row>
    <x:row r="11">
      <x:c r="A11" s="8" t="str">
        <x:v>Focus Score</x:v>
      </x:c>
      <x:c r="B11" s="9" t="str">
        <x:v>Percent</x:v>
      </x:c>
      <x:c r="C11" s="60" t="str">
        <x:v>Normalized focus rating</x:v>
      </x:c>
      <x:c r="D11" s="61" t="str">
        <x:v>Input; growth assumption</x:v>
      </x:c>
    </x:row>
    <x:row r="12">
      <x:c r="A12" s="8" t="str">
        <x:v>Habit Completion</x:v>
      </x:c>
      <x:c r="B12" s="9" t="str">
        <x:v>Percent</x:v>
      </x:c>
      <x:c r="C12" s="60" t="str">
        <x:v>Share of planned routines completed</x:v>
      </x:c>
      <x:c r="D12" s="61" t="str">
        <x:v>Input; growth assumption</x:v>
      </x:c>
    </x:row>
    <x:row r="13">
      <x:c r="A13" s="8" t="str">
        <x:v>Goal Progress</x:v>
      </x:c>
      <x:c r="B13" s="9" t="str">
        <x:v>Percent</x:v>
      </x:c>
      <x:c r="C13" s="60" t="str">
        <x:v>Progress across active goals</x:v>
      </x:c>
      <x:c r="D13" s="61" t="str">
        <x:v>Input; monthly increment</x:v>
      </x:c>
    </x:row>
    <x:row r="14">
      <x:c r="A14" s="8" t="str">
        <x:v>ARIMA</x:v>
      </x:c>
      <x:c r="B14" s="9" t="str">
        <x:v>Currency</x:v>
      </x:c>
      <x:c r="C14" s="60" t="str">
        <x:v>Short-memory expense projection</x:v>
      </x:c>
      <x:c r="D14" s="61" t="str">
        <x:v>Momentum model</x:v>
      </x:c>
    </x:row>
    <x:row r="15">
      <x:c r="A15" s="8" t="str">
        <x:v>Prophet</x:v>
      </x:c>
      <x:c r="B15" s="9" t="str">
        <x:v>Currency</x:v>
      </x:c>
      <x:c r="C15" s="60" t="str">
        <x:v>Moderated trend projection</x:v>
      </x:c>
      <x:c r="D15" s="61" t="str">
        <x:v>Trend-factor model</x:v>
      </x:c>
    </x:row>
    <x:row r="16">
      <x:c r="A16" s="8" t="str">
        <x:v>Linear</x:v>
      </x:c>
      <x:c r="B16" s="9" t="str">
        <x:v>Currency</x:v>
      </x:c>
      <x:c r="C16" s="60" t="str">
        <x:v>Straight-line expense projection</x:v>
      </x:c>
      <x:c r="D16" s="61" t="str">
        <x:v>Latest actual + monthly slope</x:v>
      </x:c>
    </x:row>
    <x:row r="17">
      <x:c r="A17" s="11" t="str">
        <x:v>Ensemble</x:v>
      </x:c>
      <x:c r="B17" s="12" t="str">
        <x:v>Currency</x:v>
      </x:c>
      <x:c r="C17" s="62" t="str">
        <x:v>Selected forecast used on dashboard</x:v>
      </x:c>
      <x:c r="D17" s="63" t="str">
        <x:v>Average of three models</x:v>
      </x:c>
    </x:row>
  </x:sheetData>
  <x:mergeCells>
    <x:mergeCell ref="A1:D1"/>
  </x:mergeCells>
  <x:pageMargins left="0.7" right="0.7" top="0.75" bottom="0.75" header="0.3" footer="0.3"/>
</x:worksheet>
</file>